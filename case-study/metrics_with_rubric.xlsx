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tur\Desktop\Proyectos Investigación\08_Correcion examenes - SoftwareX\Repositorio GitHub\EvaluAI-Project-main\case-study\"/>
    </mc:Choice>
  </mc:AlternateContent>
  <xr:revisionPtr revIDLastSave="0" documentId="13_ncr:1_{40243681-991D-469D-9882-1984527BDB03}" xr6:coauthVersionLast="47" xr6:coauthVersionMax="47" xr10:uidLastSave="{00000000-0000-0000-0000-000000000000}"/>
  <bookViews>
    <workbookView xWindow="421" yWindow="693" windowWidth="23543" windowHeight="11099" activeTab="1" xr2:uid="{00000000-000D-0000-FFFF-FFFF00000000}"/>
  </bookViews>
  <sheets>
    <sheet name="Paired data" sheetId="1" r:id="rId1"/>
    <sheet name="Metrics" sheetId="2" r:id="rId2"/>
    <sheet name="ICC" sheetId="3" r:id="rId3"/>
    <sheet name="Confidence Interval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4" i="2"/>
  <c r="H5" i="2" l="1"/>
  <c r="H6" i="2"/>
  <c r="H7" i="2"/>
  <c r="H8" i="2"/>
  <c r="H9" i="2"/>
  <c r="H10" i="2"/>
  <c r="H11" i="2"/>
  <c r="H12" i="2"/>
  <c r="I12" i="2" s="1"/>
  <c r="H13" i="2"/>
  <c r="I13" i="2" s="1"/>
  <c r="H14" i="2"/>
  <c r="I14" i="2" s="1"/>
  <c r="H15" i="2"/>
  <c r="I15" i="2" s="1"/>
  <c r="H16" i="2"/>
  <c r="H4" i="2"/>
  <c r="I4" i="2" s="1"/>
  <c r="I5" i="2"/>
  <c r="I16" i="2"/>
  <c r="I11" i="2"/>
  <c r="I10" i="2"/>
  <c r="I9" i="2"/>
  <c r="I8" i="2"/>
  <c r="I7" i="2"/>
  <c r="I6" i="2"/>
  <c r="L6" i="2"/>
  <c r="H7" i="7"/>
  <c r="H6" i="7"/>
  <c r="G7" i="7"/>
  <c r="G6" i="7"/>
  <c r="L5" i="2" l="1"/>
  <c r="L4" i="2"/>
  <c r="A7" i="7"/>
  <c r="A8" i="7"/>
  <c r="A9" i="7"/>
  <c r="A10" i="7"/>
  <c r="A11" i="7"/>
  <c r="A12" i="7"/>
  <c r="A13" i="7"/>
  <c r="A14" i="7"/>
  <c r="A15" i="7"/>
  <c r="A16" i="7"/>
  <c r="A17" i="7"/>
  <c r="A18" i="7"/>
  <c r="A6" i="7"/>
  <c r="K20" i="7"/>
  <c r="K19" i="7"/>
  <c r="F12" i="7"/>
  <c r="K16" i="7"/>
  <c r="K15" i="7"/>
  <c r="K14" i="7"/>
  <c r="K13" i="7"/>
  <c r="K12" i="7"/>
  <c r="C7" i="7"/>
  <c r="C8" i="7"/>
  <c r="C9" i="7"/>
  <c r="C10" i="7"/>
  <c r="C11" i="7"/>
  <c r="C12" i="7"/>
  <c r="C13" i="7"/>
  <c r="C14" i="7"/>
  <c r="C15" i="7"/>
  <c r="C16" i="7"/>
  <c r="C17" i="7"/>
  <c r="C18" i="7"/>
  <c r="C6" i="7"/>
  <c r="B8" i="7"/>
  <c r="B9" i="7"/>
  <c r="B10" i="7"/>
  <c r="B11" i="7"/>
  <c r="B12" i="7"/>
  <c r="B13" i="7"/>
  <c r="B14" i="7"/>
  <c r="B15" i="7"/>
  <c r="B16" i="7"/>
  <c r="B17" i="7"/>
  <c r="B18" i="7"/>
  <c r="B7" i="7"/>
  <c r="B6" i="7"/>
  <c r="F7" i="7"/>
  <c r="G12" i="7" l="1"/>
  <c r="K6" i="7"/>
  <c r="K7" i="7" s="1"/>
  <c r="F8" i="7"/>
  <c r="H8" i="7"/>
  <c r="H12" i="7"/>
  <c r="K17" i="7"/>
  <c r="K18" i="7" s="1"/>
  <c r="F6" i="7"/>
  <c r="G8" i="7" l="1"/>
  <c r="D11" i="2" l="1"/>
  <c r="D12" i="2" s="1"/>
  <c r="C11" i="2"/>
  <c r="C12" i="2" s="1"/>
  <c r="Z16" i="1"/>
  <c r="AD16" i="1" s="1"/>
  <c r="X16" i="1"/>
  <c r="W16" i="1"/>
  <c r="V16" i="1"/>
  <c r="Y16" i="1" s="1"/>
  <c r="U16" i="1"/>
  <c r="T16" i="1"/>
  <c r="S16" i="1"/>
  <c r="R16" i="1"/>
  <c r="AD15" i="1"/>
  <c r="Z15" i="1"/>
  <c r="X15" i="1"/>
  <c r="W15" i="1"/>
  <c r="V15" i="1"/>
  <c r="Y15" i="1" s="1"/>
  <c r="U15" i="1"/>
  <c r="T15" i="1"/>
  <c r="S15" i="1"/>
  <c r="R15" i="1"/>
  <c r="AD14" i="1"/>
  <c r="Z14" i="1"/>
  <c r="X14" i="1"/>
  <c r="W14" i="1"/>
  <c r="V14" i="1"/>
  <c r="Y14" i="1" s="1"/>
  <c r="U14" i="1"/>
  <c r="T14" i="1"/>
  <c r="S14" i="1"/>
  <c r="R14" i="1"/>
  <c r="Z13" i="1"/>
  <c r="AD13" i="1" s="1"/>
  <c r="X13" i="1"/>
  <c r="W13" i="1"/>
  <c r="V13" i="1"/>
  <c r="Y13" i="1" s="1"/>
  <c r="U13" i="1"/>
  <c r="T13" i="1"/>
  <c r="S13" i="1"/>
  <c r="R13" i="1"/>
  <c r="Z12" i="1"/>
  <c r="AD12" i="1" s="1"/>
  <c r="X12" i="1"/>
  <c r="Y12" i="1" s="1"/>
  <c r="W12" i="1"/>
  <c r="V12" i="1"/>
  <c r="U12" i="1"/>
  <c r="T12" i="1"/>
  <c r="S12" i="1"/>
  <c r="R12" i="1"/>
  <c r="Z11" i="1"/>
  <c r="AD11" i="1" s="1"/>
  <c r="X11" i="1"/>
  <c r="W11" i="1"/>
  <c r="V11" i="1"/>
  <c r="Y11" i="1" s="1"/>
  <c r="U11" i="1"/>
  <c r="T11" i="1"/>
  <c r="S11" i="1"/>
  <c r="R11" i="1"/>
  <c r="Z10" i="1"/>
  <c r="AD10" i="1" s="1"/>
  <c r="X10" i="1"/>
  <c r="W10" i="1"/>
  <c r="V10" i="1"/>
  <c r="Y10" i="1" s="1"/>
  <c r="U10" i="1"/>
  <c r="T10" i="1"/>
  <c r="S10" i="1"/>
  <c r="R10" i="1"/>
  <c r="Z9" i="1"/>
  <c r="AD9" i="1" s="1"/>
  <c r="X9" i="1"/>
  <c r="W9" i="1"/>
  <c r="V9" i="1"/>
  <c r="Y9" i="1" s="1"/>
  <c r="U9" i="1"/>
  <c r="T9" i="1"/>
  <c r="S9" i="1"/>
  <c r="R9" i="1"/>
  <c r="Z8" i="1"/>
  <c r="AD8" i="1" s="1"/>
  <c r="X8" i="1"/>
  <c r="W8" i="1"/>
  <c r="V8" i="1"/>
  <c r="Y8" i="1" s="1"/>
  <c r="U8" i="1"/>
  <c r="T8" i="1"/>
  <c r="S8" i="1"/>
  <c r="R8" i="1"/>
  <c r="AD7" i="1"/>
  <c r="Z7" i="1"/>
  <c r="X7" i="1"/>
  <c r="W7" i="1"/>
  <c r="V7" i="1"/>
  <c r="Y7" i="1" s="1"/>
  <c r="U7" i="1"/>
  <c r="T7" i="1"/>
  <c r="S7" i="1"/>
  <c r="R7" i="1"/>
  <c r="AD6" i="1"/>
  <c r="Z6" i="1"/>
  <c r="X6" i="1"/>
  <c r="W6" i="1"/>
  <c r="V6" i="1"/>
  <c r="Y6" i="1" s="1"/>
  <c r="U6" i="1"/>
  <c r="T6" i="1"/>
  <c r="S6" i="1"/>
  <c r="R6" i="1"/>
  <c r="Z5" i="1"/>
  <c r="AD5" i="1" s="1"/>
  <c r="X5" i="1"/>
  <c r="W5" i="1"/>
  <c r="V5" i="1"/>
  <c r="Y5" i="1" s="1"/>
  <c r="U5" i="1"/>
  <c r="T5" i="1"/>
  <c r="S5" i="1"/>
  <c r="R5" i="1"/>
  <c r="Z4" i="1"/>
  <c r="AD4" i="1" s="1"/>
  <c r="X4" i="1"/>
  <c r="Y4" i="1" s="1"/>
  <c r="W4" i="1"/>
  <c r="V4" i="1"/>
  <c r="U4" i="1"/>
  <c r="T4" i="1"/>
  <c r="S4" i="1"/>
  <c r="R4" i="1"/>
  <c r="D17" i="3"/>
  <c r="C17" i="3"/>
  <c r="B17" i="3"/>
  <c r="A17" i="3"/>
  <c r="D16" i="3"/>
  <c r="C16" i="3"/>
  <c r="B16" i="3"/>
  <c r="E16" i="3" s="1"/>
  <c r="L16" i="3" s="1"/>
  <c r="A16" i="3"/>
  <c r="D15" i="3"/>
  <c r="C15" i="3"/>
  <c r="B15" i="3"/>
  <c r="A15" i="3"/>
  <c r="E14" i="3"/>
  <c r="L14" i="3" s="1"/>
  <c r="D14" i="3"/>
  <c r="C14" i="3"/>
  <c r="B14" i="3"/>
  <c r="A14" i="3"/>
  <c r="D13" i="3"/>
  <c r="C13" i="3"/>
  <c r="B13" i="3"/>
  <c r="A13" i="3"/>
  <c r="D12" i="3"/>
  <c r="C12" i="3"/>
  <c r="B12" i="3"/>
  <c r="A12" i="3"/>
  <c r="D11" i="3"/>
  <c r="C11" i="3"/>
  <c r="B11" i="3"/>
  <c r="A11" i="3"/>
  <c r="D10" i="3"/>
  <c r="C10" i="3"/>
  <c r="B10" i="3"/>
  <c r="E10" i="3" s="1"/>
  <c r="A10" i="3"/>
  <c r="D9" i="3"/>
  <c r="C9" i="3"/>
  <c r="E9" i="3" s="1"/>
  <c r="B9" i="3"/>
  <c r="A9" i="3"/>
  <c r="D8" i="3"/>
  <c r="C8" i="3"/>
  <c r="B8" i="3"/>
  <c r="E8" i="3" s="1"/>
  <c r="L8" i="3" s="1"/>
  <c r="A8" i="3"/>
  <c r="D7" i="3"/>
  <c r="C7" i="3"/>
  <c r="B7" i="3"/>
  <c r="A7" i="3"/>
  <c r="D6" i="3"/>
  <c r="C6" i="3"/>
  <c r="B6" i="3"/>
  <c r="A6" i="3"/>
  <c r="E5" i="3"/>
  <c r="D5" i="3"/>
  <c r="D21" i="3" s="1"/>
  <c r="C5" i="3"/>
  <c r="B5" i="3"/>
  <c r="E21" i="3" s="1"/>
  <c r="A5" i="3"/>
  <c r="O16" i="1"/>
  <c r="Q16" i="1" s="1"/>
  <c r="M16" i="1"/>
  <c r="E16" i="1"/>
  <c r="G16" i="1" s="1"/>
  <c r="M15" i="1"/>
  <c r="O15" i="1" s="1"/>
  <c r="E15" i="1"/>
  <c r="G15" i="1" s="1"/>
  <c r="O14" i="1"/>
  <c r="Q14" i="1" s="1"/>
  <c r="M14" i="1"/>
  <c r="E14" i="1"/>
  <c r="G14" i="1" s="1"/>
  <c r="M13" i="1"/>
  <c r="O13" i="1" s="1"/>
  <c r="E13" i="1"/>
  <c r="G13" i="1" s="1"/>
  <c r="O12" i="1"/>
  <c r="Q12" i="1" s="1"/>
  <c r="M12" i="1"/>
  <c r="E12" i="1"/>
  <c r="G12" i="1" s="1"/>
  <c r="M11" i="1"/>
  <c r="O11" i="1" s="1"/>
  <c r="E11" i="1"/>
  <c r="G11" i="1" s="1"/>
  <c r="O10" i="1"/>
  <c r="Q10" i="1" s="1"/>
  <c r="M10" i="1"/>
  <c r="E10" i="1"/>
  <c r="G10" i="1" s="1"/>
  <c r="M9" i="1"/>
  <c r="O9" i="1" s="1"/>
  <c r="E9" i="1"/>
  <c r="G9" i="1" s="1"/>
  <c r="O8" i="1"/>
  <c r="Q8" i="1" s="1"/>
  <c r="M8" i="1"/>
  <c r="E8" i="1"/>
  <c r="G8" i="1" s="1"/>
  <c r="M7" i="1"/>
  <c r="O7" i="1" s="1"/>
  <c r="E7" i="1"/>
  <c r="G7" i="1" s="1"/>
  <c r="O6" i="1"/>
  <c r="Q6" i="1" s="1"/>
  <c r="M6" i="1"/>
  <c r="E6" i="1"/>
  <c r="G6" i="1" s="1"/>
  <c r="M5" i="1"/>
  <c r="O5" i="1" s="1"/>
  <c r="E5" i="1"/>
  <c r="G5" i="1" s="1"/>
  <c r="O4" i="1"/>
  <c r="Q4" i="1" s="1"/>
  <c r="M4" i="1"/>
  <c r="E4" i="1"/>
  <c r="G4" i="1" s="1"/>
  <c r="E11" i="2" l="1"/>
  <c r="E12" i="2" s="1"/>
  <c r="AE9" i="1"/>
  <c r="AA9" i="1"/>
  <c r="AE5" i="1"/>
  <c r="AA5" i="1"/>
  <c r="AE11" i="1"/>
  <c r="AA11" i="1"/>
  <c r="AA14" i="1"/>
  <c r="AE14" i="1"/>
  <c r="AA7" i="1"/>
  <c r="AE7" i="1"/>
  <c r="AE15" i="1"/>
  <c r="AA15" i="1"/>
  <c r="AE4" i="1"/>
  <c r="AA4" i="1"/>
  <c r="AE10" i="1"/>
  <c r="AA10" i="1"/>
  <c r="AA12" i="1"/>
  <c r="AE12" i="1"/>
  <c r="AE13" i="1"/>
  <c r="AA13" i="1"/>
  <c r="AA6" i="1"/>
  <c r="AE6" i="1"/>
  <c r="AE8" i="1"/>
  <c r="AA8" i="1"/>
  <c r="AE16" i="1"/>
  <c r="AA16" i="1"/>
  <c r="L10" i="3"/>
  <c r="H10" i="3"/>
  <c r="K10" i="3" s="1"/>
  <c r="Q7" i="1"/>
  <c r="P7" i="1"/>
  <c r="H6" i="3"/>
  <c r="K6" i="3" s="1"/>
  <c r="H15" i="1"/>
  <c r="I15" i="1"/>
  <c r="H9" i="1"/>
  <c r="I9" i="1"/>
  <c r="H11" i="3"/>
  <c r="K11" i="3" s="1"/>
  <c r="I16" i="1"/>
  <c r="H16" i="1"/>
  <c r="I10" i="1"/>
  <c r="H10" i="1"/>
  <c r="H16" i="3"/>
  <c r="K16" i="3" s="1"/>
  <c r="I5" i="1"/>
  <c r="H5" i="1"/>
  <c r="Q11" i="1"/>
  <c r="P11" i="1"/>
  <c r="I13" i="1"/>
  <c r="H13" i="1"/>
  <c r="G6" i="3"/>
  <c r="J6" i="3" s="1"/>
  <c r="I8" i="1"/>
  <c r="H8" i="1"/>
  <c r="F11" i="3"/>
  <c r="I11" i="3" s="1"/>
  <c r="Q15" i="1"/>
  <c r="P15" i="1"/>
  <c r="H12" i="3"/>
  <c r="K12" i="3" s="1"/>
  <c r="F9" i="3"/>
  <c r="I9" i="3" s="1"/>
  <c r="L9" i="3"/>
  <c r="F17" i="3"/>
  <c r="I17" i="3" s="1"/>
  <c r="Q13" i="1"/>
  <c r="P13" i="1"/>
  <c r="H14" i="1"/>
  <c r="I14" i="1"/>
  <c r="G11" i="3"/>
  <c r="J11" i="3" s="1"/>
  <c r="I11" i="1"/>
  <c r="H11" i="1"/>
  <c r="Q5" i="1"/>
  <c r="D5" i="2" s="1"/>
  <c r="P5" i="1"/>
  <c r="I12" i="1"/>
  <c r="H12" i="1"/>
  <c r="I6" i="1"/>
  <c r="H6" i="1"/>
  <c r="H9" i="3"/>
  <c r="K9" i="3" s="1"/>
  <c r="H13" i="3"/>
  <c r="K13" i="3" s="1"/>
  <c r="G17" i="3"/>
  <c r="J17" i="3" s="1"/>
  <c r="I7" i="1"/>
  <c r="H7" i="1"/>
  <c r="F15" i="3"/>
  <c r="I15" i="3" s="1"/>
  <c r="Q9" i="1"/>
  <c r="P9" i="1"/>
  <c r="H4" i="1"/>
  <c r="I4" i="1"/>
  <c r="H8" i="3"/>
  <c r="K8" i="3" s="1"/>
  <c r="H17" i="3"/>
  <c r="K17" i="3" s="1"/>
  <c r="E13" i="3"/>
  <c r="L13" i="3" s="1"/>
  <c r="E17" i="3"/>
  <c r="L17" i="3" s="1"/>
  <c r="F14" i="3"/>
  <c r="I14" i="3" s="1"/>
  <c r="H5" i="3"/>
  <c r="K5" i="3" s="1"/>
  <c r="H14" i="3"/>
  <c r="K14" i="3" s="1"/>
  <c r="F5" i="3"/>
  <c r="I5" i="3" s="1"/>
  <c r="G14" i="3"/>
  <c r="J14" i="3" s="1"/>
  <c r="E12" i="3"/>
  <c r="L12" i="3" s="1"/>
  <c r="E6" i="3"/>
  <c r="L6" i="3" s="1"/>
  <c r="E11" i="3"/>
  <c r="L11" i="3" s="1"/>
  <c r="E15" i="3"/>
  <c r="L15" i="3" s="1"/>
  <c r="B21" i="3"/>
  <c r="F16" i="3" s="1"/>
  <c r="I16" i="3" s="1"/>
  <c r="L5" i="3"/>
  <c r="E7" i="3"/>
  <c r="L7" i="3" s="1"/>
  <c r="C21" i="3"/>
  <c r="G10" i="3" s="1"/>
  <c r="J10" i="3" s="1"/>
  <c r="P4" i="1"/>
  <c r="P6" i="1"/>
  <c r="P8" i="1"/>
  <c r="P10" i="1"/>
  <c r="P12" i="1"/>
  <c r="P14" i="1"/>
  <c r="P16" i="1"/>
  <c r="AB16" i="1" l="1"/>
  <c r="AC16" i="1"/>
  <c r="AB14" i="1"/>
  <c r="AC14" i="1"/>
  <c r="AC11" i="1"/>
  <c r="AB11" i="1"/>
  <c r="AB6" i="1"/>
  <c r="AC6" i="1"/>
  <c r="AC8" i="1"/>
  <c r="AB8" i="1"/>
  <c r="AB4" i="1"/>
  <c r="AC4" i="1"/>
  <c r="AC15" i="1"/>
  <c r="AB15" i="1"/>
  <c r="AB5" i="1"/>
  <c r="AC5" i="1"/>
  <c r="AC9" i="1"/>
  <c r="AB9" i="1"/>
  <c r="AC10" i="1"/>
  <c r="AB10" i="1"/>
  <c r="AC7" i="1"/>
  <c r="AB7" i="1"/>
  <c r="AB13" i="1"/>
  <c r="AC13" i="1"/>
  <c r="AC12" i="1"/>
  <c r="AB12" i="1"/>
  <c r="D7" i="2"/>
  <c r="E5" i="2"/>
  <c r="E7" i="2" s="1"/>
  <c r="C5" i="2"/>
  <c r="C7" i="2" s="1"/>
  <c r="F6" i="3"/>
  <c r="I6" i="3" s="1"/>
  <c r="F13" i="3"/>
  <c r="I13" i="3" s="1"/>
  <c r="D4" i="2"/>
  <c r="G15" i="3"/>
  <c r="J15" i="3" s="1"/>
  <c r="N7" i="3"/>
  <c r="C4" i="2"/>
  <c r="C6" i="2" s="1"/>
  <c r="H7" i="3"/>
  <c r="K7" i="3" s="1"/>
  <c r="H15" i="3"/>
  <c r="K15" i="3" s="1"/>
  <c r="G12" i="3"/>
  <c r="J12" i="3" s="1"/>
  <c r="G9" i="3"/>
  <c r="J9" i="3" s="1"/>
  <c r="G13" i="3"/>
  <c r="J13" i="3" s="1"/>
  <c r="N8" i="3"/>
  <c r="G16" i="3"/>
  <c r="J16" i="3" s="1"/>
  <c r="F12" i="3"/>
  <c r="I12" i="3" s="1"/>
  <c r="F10" i="3"/>
  <c r="I10" i="3" s="1"/>
  <c r="G5" i="3"/>
  <c r="J5" i="3" s="1"/>
  <c r="F7" i="3"/>
  <c r="I7" i="3" s="1"/>
  <c r="G8" i="3"/>
  <c r="J8" i="3" s="1"/>
  <c r="F8" i="3"/>
  <c r="I8" i="3" s="1"/>
  <c r="G7" i="3"/>
  <c r="J7" i="3" s="1"/>
  <c r="N9" i="3" s="1"/>
  <c r="N10" i="3" l="1"/>
  <c r="D6" i="2"/>
  <c r="E4" i="2"/>
  <c r="E6" i="2" s="1"/>
</calcChain>
</file>

<file path=xl/sharedStrings.xml><?xml version="1.0" encoding="utf-8"?>
<sst xmlns="http://schemas.openxmlformats.org/spreadsheetml/2006/main" count="128" uniqueCount="102">
  <si>
    <t>Rubric-guided evaluation: AI vs. Human grading – paired cases</t>
  </si>
  <si>
    <t>Student</t>
  </si>
  <si>
    <t>Theory AI Run 1</t>
  </si>
  <si>
    <t>Theory AI Run 2</t>
  </si>
  <si>
    <t>Theory AI Run 3</t>
  </si>
  <si>
    <t>Theory AI Mean</t>
  </si>
  <si>
    <t>Theory Human</t>
  </si>
  <si>
    <t>Theory Error</t>
  </si>
  <si>
    <t>Theory |Error|</t>
  </si>
  <si>
    <t>Theory Error²</t>
  </si>
  <si>
    <t>Practice AI Run 1</t>
  </si>
  <si>
    <t>Practice AI Run 2</t>
  </si>
  <si>
    <t>Practice AI Run 3</t>
  </si>
  <si>
    <t>Practice AI Mean</t>
  </si>
  <si>
    <t>Practice Human</t>
  </si>
  <si>
    <t>Practice Error</t>
  </si>
  <si>
    <t>Practice |Error|</t>
  </si>
  <si>
    <t>Practice Error²</t>
  </si>
  <si>
    <t>Student 6 was excluded because the corresponding instructor grade could not be identified. The AI–human comparison therefore uses n = 13 paired submissions.</t>
  </si>
  <si>
    <t>Rubric-guided evaluation: error metrics (AI mean of 3 runs vs. instructor)</t>
  </si>
  <si>
    <t>Section</t>
  </si>
  <si>
    <t>Scale</t>
  </si>
  <si>
    <t>MAE</t>
  </si>
  <si>
    <t>MSE</t>
  </si>
  <si>
    <t>RMSE</t>
  </si>
  <si>
    <t>0–3</t>
  </si>
  <si>
    <t>0–1</t>
  </si>
  <si>
    <t>Rubric-guided evaluation: global run-to-run ICC of total AI scores</t>
  </si>
  <si>
    <t>ICC(A,1) / ICC(2,1): two-way random-effects, absolute-agreement, single-measure ICC, computed from total AI score (theory + practice) across the three repeated runs.</t>
  </si>
  <si>
    <t>Total Run 1</t>
  </si>
  <si>
    <t>Total Run 2</t>
  </si>
  <si>
    <t>Total Run 3</t>
  </si>
  <si>
    <t>Row mean</t>
  </si>
  <si>
    <t>Residual R1</t>
  </si>
  <si>
    <t>Residual R2</t>
  </si>
  <si>
    <t>Residual R3</t>
  </si>
  <si>
    <t>Residual² R1</t>
  </si>
  <si>
    <t>Residual² R2</t>
  </si>
  <si>
    <t>Residual² R3</t>
  </si>
  <si>
    <t>Row mean deviation²</t>
  </si>
  <si>
    <t>ICC component</t>
  </si>
  <si>
    <t>Value</t>
  </si>
  <si>
    <t>n</t>
  </si>
  <si>
    <t>k</t>
  </si>
  <si>
    <t>MS rows</t>
  </si>
  <si>
    <t>MS columns</t>
  </si>
  <si>
    <t>MS error</t>
  </si>
  <si>
    <t>ICC(A,1) / ICC(2,1)</t>
  </si>
  <si>
    <t>Interpretation</t>
  </si>
  <si>
    <t>Run-to-run absolute agreement</t>
  </si>
  <si>
    <t>Means</t>
  </si>
  <si>
    <t>Run 1</t>
  </si>
  <si>
    <t>Run 2</t>
  </si>
  <si>
    <t>Run 3</t>
  </si>
  <si>
    <t>Grand mean</t>
  </si>
  <si>
    <t>Theory Human normalized</t>
  </si>
  <si>
    <t>Theory AI normalized</t>
  </si>
  <si>
    <t>Practice Human normalized</t>
  </si>
  <si>
    <t>Practice AI normalized</t>
  </si>
  <si>
    <t>Total AI Run 1</t>
  </si>
  <si>
    <t>Total AI Run 2</t>
  </si>
  <si>
    <t>Total AI Run 3</t>
  </si>
  <si>
    <t>Total AI Mean</t>
  </si>
  <si>
    <t>Total Human</t>
  </si>
  <si>
    <t>Total Error</t>
  </si>
  <si>
    <t>Total |Error|</t>
  </si>
  <si>
    <t>Total Error²</t>
  </si>
  <si>
    <t>Total Human normalized</t>
  </si>
  <si>
    <t>Total AI normalized</t>
  </si>
  <si>
    <t>X identity</t>
  </si>
  <si>
    <t>Y identity</t>
  </si>
  <si>
    <t>Total examination</t>
  </si>
  <si>
    <t>0–6</t>
  </si>
  <si>
    <t>Practice</t>
  </si>
  <si>
    <t>Theory</t>
  </si>
  <si>
    <t>Absolute error (0–1)</t>
  </si>
  <si>
    <t>Squared error (0–1)</t>
  </si>
  <si>
    <t>Metric</t>
  </si>
  <si>
    <t>Estimate</t>
  </si>
  <si>
    <t>95% CI lower</t>
  </si>
  <si>
    <t>95% CI upper</t>
  </si>
  <si>
    <t>Parameter</t>
  </si>
  <si>
    <t>df</t>
  </si>
  <si>
    <t>alpha</t>
  </si>
  <si>
    <t>t critical (95%, df=12)</t>
  </si>
  <si>
    <t>ICC statistic</t>
  </si>
  <si>
    <t>ICC parameter</t>
  </si>
  <si>
    <t>ICC(2,1) / ICC(A,1)</t>
  </si>
  <si>
    <t>Fj</t>
  </si>
  <si>
    <t>v</t>
  </si>
  <si>
    <t>F upper critical</t>
  </si>
  <si>
    <t>F lower critical</t>
  </si>
  <si>
    <t>Notes: error metrics use the normalized total examination score (0–1). The 95% CI for MAE and MSE is estimate ± t(0.975, n−1) × SE; the lower bound is truncated at 0. RMSE is the square root of MSE, so its CI is obtained by transforming the MSE limits.</t>
  </si>
  <si>
    <t xml:space="preserve">95% Confidence Intervals </t>
  </si>
  <si>
    <t>Error-metric CIs: t-based intervals across the 13 paired submissions. ICC(2,1) CI: F-distribution-based interval using the existing two-way ANOVA components.</t>
  </si>
  <si>
    <t>SD total (0–6)</t>
  </si>
  <si>
    <t>SD normalized (0–1)</t>
  </si>
  <si>
    <t>Summary</t>
  </si>
  <si>
    <t>Mean SD total (0–6)</t>
  </si>
  <si>
    <t>Mean SD normalized (0–1)</t>
  </si>
  <si>
    <t>Paired submissions (n)</t>
  </si>
  <si>
    <t>SD (STDEV.S) across the three AI total-score runs for each paired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</si>
</sst>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"/>
  </numFmts>
  <fonts count="10" x14ac:knownFonts="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theme="0"/>
      <name val="Carlito"/>
      <family val="2"/>
    </font>
    <font>
      <sz val="11"/>
      <name val="Carlito"/>
      <family val="2"/>
    </font>
    <font>
      <b/>
      <sz val="11"/>
      <color rgb="FFFFFFFF"/>
      <name val="Carlito"/>
      <family val="2"/>
    </font>
    <font>
      <b/>
      <sz val="14"/>
      <color rgb="FFFFFFFF"/>
      <name val="Carlito"/>
      <family val="2"/>
    </font>
    <font>
      <i/>
      <sz val="11"/>
      <color rgb="FF595959"/>
      <name val="Carlito"/>
      <family val="2"/>
    </font>
    <font>
      <b/>
      <sz val="12"/>
      <color rgb="FFFFFFFF"/>
      <name val="Carlito"/>
      <family val="2"/>
    </font>
    <font>
      <b/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E7E6E6"/>
      </right>
      <top style="thin">
        <color rgb="FFD9D9D9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D9D9D9"/>
      </top>
      <bottom style="thin">
        <color rgb="FFE7E6E6"/>
      </bottom>
      <diagonal/>
    </border>
    <border>
      <left style="thin">
        <color rgb="FFE7E6E6"/>
      </left>
      <right style="thin">
        <color rgb="FFD9D9D9"/>
      </right>
      <top style="thin">
        <color rgb="FFD9D9D9"/>
      </top>
      <bottom style="thin">
        <color rgb="FFE7E6E6"/>
      </bottom>
      <diagonal/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E7E6E6"/>
      </bottom>
      <diagonal/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D9D9D9"/>
      </bottom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166" fontId="0" fillId="0" borderId="0" xfId="0" applyNumberFormat="1"/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0" fillId="0" borderId="4" xfId="0" applyBorder="1" applyAlignment="1">
      <alignment horizontal="center"/>
    </xf>
    <xf numFmtId="166" fontId="0" fillId="0" borderId="5" xfId="0" applyNumberFormat="1" applyBorder="1"/>
    <xf numFmtId="166" fontId="0" fillId="0" borderId="6" xfId="0" applyNumberFormat="1" applyBorder="1"/>
    <xf numFmtId="0" fontId="0" fillId="0" borderId="4" xfId="0" applyBorder="1"/>
    <xf numFmtId="0" fontId="0" fillId="0" borderId="7" xfId="0" applyBorder="1"/>
    <xf numFmtId="1" fontId="0" fillId="0" borderId="8" xfId="0" applyNumberFormat="1" applyBorder="1"/>
    <xf numFmtId="166" fontId="0" fillId="0" borderId="8" xfId="0" applyNumberFormat="1" applyBorder="1"/>
    <xf numFmtId="0" fontId="8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166" fontId="9" fillId="4" borderId="6" xfId="0" applyNumberFormat="1" applyFont="1" applyFill="1" applyBorder="1"/>
  </cellXfs>
  <cellStyles count="2">
    <cellStyle name="Normal" xfId="0" builtinId="0"/>
    <cellStyle name="Normal 2" xfId="1" xr:uid="{845AE2CE-733A-48D1-8F4E-FCE3B9434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92764054289834"/>
          <c:y val="0.12362714834387482"/>
          <c:w val="0.79433913936638989"/>
          <c:h val="0.69950550266255596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'Paired data'!$AF$4:$AF$5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pPr>
              <a:noFill/>
              <a:ln>
                <a:noFill/>
              </a:ln>
            </c:spPr>
          </c:marker>
          <c:dPt>
            <c:idx val="1"/>
            <c:bubble3D val="0"/>
            <c:spPr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8-17C8-48E7-84CD-6CB15791039D}"/>
              </c:ext>
            </c:extLst>
          </c:dPt>
          <c:xVal>
            <c:numRef>
              <c:f>'Paired data'!$AF$4:$AF$5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'Paired data'!$AG$4:$AG$5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7C8-48E7-84CD-6CB15791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386256"/>
        <c:axId val="1506347088"/>
      </c:scatterChar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spPr>
              <a:ln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'Paired data'!$AD$4:$AD$16</c:f>
              <c:numCache>
                <c:formatCode>0.000</c:formatCode>
                <c:ptCount val="13"/>
                <c:pt idx="0">
                  <c:v>0.16666666666666666</c:v>
                </c:pt>
                <c:pt idx="1">
                  <c:v>0.23333333333333331</c:v>
                </c:pt>
                <c:pt idx="2">
                  <c:v>0.26666666666666666</c:v>
                </c:pt>
                <c:pt idx="3">
                  <c:v>0.25</c:v>
                </c:pt>
                <c:pt idx="4">
                  <c:v>0.76666666666666661</c:v>
                </c:pt>
                <c:pt idx="5">
                  <c:v>0.25</c:v>
                </c:pt>
                <c:pt idx="6">
                  <c:v>0.94166666666666676</c:v>
                </c:pt>
                <c:pt idx="7">
                  <c:v>0.7583333333333333</c:v>
                </c:pt>
                <c:pt idx="8">
                  <c:v>0.33333333333333331</c:v>
                </c:pt>
                <c:pt idx="9">
                  <c:v>0.58333333333333337</c:v>
                </c:pt>
                <c:pt idx="10">
                  <c:v>0.58333333333333337</c:v>
                </c:pt>
                <c:pt idx="11">
                  <c:v>0.35000000000000003</c:v>
                </c:pt>
                <c:pt idx="12">
                  <c:v>0.96666666666666667</c:v>
                </c:pt>
              </c:numCache>
            </c:numRef>
          </c:xVal>
          <c:yVal>
            <c:numRef>
              <c:f>'Paired data'!$AE$4:$AE$16</c:f>
              <c:numCache>
                <c:formatCode>0.000</c:formatCode>
                <c:ptCount val="13"/>
                <c:pt idx="0">
                  <c:v>0.13333333333333336</c:v>
                </c:pt>
                <c:pt idx="1">
                  <c:v>0.19999999999999998</c:v>
                </c:pt>
                <c:pt idx="2">
                  <c:v>0.19166666666666668</c:v>
                </c:pt>
                <c:pt idx="3">
                  <c:v>0.26111111111111113</c:v>
                </c:pt>
                <c:pt idx="4">
                  <c:v>0.60277777777777775</c:v>
                </c:pt>
                <c:pt idx="5">
                  <c:v>0.23888888888888893</c:v>
                </c:pt>
                <c:pt idx="6">
                  <c:v>0.65833333333333333</c:v>
                </c:pt>
                <c:pt idx="7">
                  <c:v>0.40277777777777773</c:v>
                </c:pt>
                <c:pt idx="8">
                  <c:v>0.3083333333333334</c:v>
                </c:pt>
                <c:pt idx="9">
                  <c:v>0.2722222222222222</c:v>
                </c:pt>
                <c:pt idx="10">
                  <c:v>0.50555555555555554</c:v>
                </c:pt>
                <c:pt idx="11">
                  <c:v>0.37222222222222223</c:v>
                </c:pt>
                <c:pt idx="12">
                  <c:v>0.65555555555555556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7C8-48E7-84CD-6CB15791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548944"/>
        <c:axId val="1257536464"/>
      </c:scatterChart>
      <c:valAx>
        <c:axId val="1506347088"/>
        <c:scaling>
          <c:orientation val="minMax"/>
          <c:max val="1"/>
        </c:scaling>
        <c:delete val="0"/>
        <c:axPos val="l"/>
        <c:majorGridlines>
          <c:spPr>
            <a:ln w="9525" cmpd="sng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 sz="1000" b="1" i="0" u="none" strike="noStrike" baseline="0"/>
                  <a:t>Normalized EvaluAI Grade</a:t>
                </a:r>
                <a:endParaRPr lang="es-ES"/>
              </a:p>
            </c:rich>
          </c:tx>
          <c:layout>
            <c:manualLayout>
              <c:xMode val="edge"/>
              <c:yMode val="edge"/>
              <c:x val="2.4200299069877133E-2"/>
              <c:y val="0.20900674516751486"/>
            </c:manualLayout>
          </c:layout>
          <c:overlay val="0"/>
        </c:title>
        <c:numFmt formatCode="0.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720386256"/>
        <c:crosses val="autoZero"/>
        <c:crossBetween val="midCat"/>
        <c:majorUnit val="0.2"/>
      </c:valAx>
      <c:valAx>
        <c:axId val="1720386256"/>
        <c:scaling>
          <c:orientation val="minMax"/>
          <c:max val="1"/>
        </c:scaling>
        <c:delete val="0"/>
        <c:axPos val="b"/>
        <c:majorGridlines>
          <c:spPr>
            <a:ln w="9525" cmpd="sng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 sz="1000" b="1" i="0" u="none" strike="noStrike" baseline="0"/>
                  <a:t>Normalized Instructor Grade</a:t>
                </a:r>
                <a:endParaRPr lang="es-ES"/>
              </a:p>
            </c:rich>
          </c:tx>
          <c:layout>
            <c:manualLayout>
              <c:xMode val="edge"/>
              <c:yMode val="edge"/>
              <c:x val="0.32344100540001675"/>
              <c:y val="0.912167184802356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  <a:beve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506347088"/>
        <c:crosses val="autoZero"/>
        <c:crossBetween val="midCat"/>
        <c:majorUnit val="0.2"/>
      </c:valAx>
      <c:valAx>
        <c:axId val="1257536464"/>
        <c:scaling>
          <c:orientation val="minMax"/>
          <c:max val="1"/>
        </c:scaling>
        <c:delete val="1"/>
        <c:axPos val="r"/>
        <c:numFmt formatCode="0.000" sourceLinked="1"/>
        <c:majorTickMark val="out"/>
        <c:minorTickMark val="none"/>
        <c:tickLblPos val="nextTo"/>
        <c:crossAx val="1257548944"/>
        <c:crosses val="max"/>
        <c:crossBetween val="midCat"/>
      </c:valAx>
      <c:valAx>
        <c:axId val="1257548944"/>
        <c:scaling>
          <c:orientation val="minMax"/>
          <c:max val="1"/>
        </c:scaling>
        <c:delete val="1"/>
        <c:axPos val="t"/>
        <c:numFmt formatCode="0.000" sourceLinked="1"/>
        <c:majorTickMark val="out"/>
        <c:minorTickMark val="none"/>
        <c:tickLblPos val="nextTo"/>
        <c:crossAx val="1257536464"/>
        <c:crosses val="max"/>
        <c:crossBetween val="midCat"/>
      </c:valAx>
      <c:spPr>
        <a:noFill/>
        <a:ln>
          <a:noFill/>
          <a:prstDash val="sysDot"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479379</xdr:colOff>
      <xdr:row>20</xdr:row>
      <xdr:rowOff>123120</xdr:rowOff>
    </xdr:from>
    <xdr:to>
      <xdr:col>16</xdr:col>
      <xdr:colOff>811166</xdr:colOff>
      <xdr:row>36</xdr:row>
      <xdr:rowOff>93233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7CABA281-00B2-40A9-8C57-866FC42AB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topLeftCell="H1" zoomScale="70" zoomScaleNormal="70" workbookViewId="0">
      <selection activeCell="V4" sqref="V4"/>
    </sheetView>
  </sheetViews>
  <sheetFormatPr defaultRowHeight="14.3" x14ac:dyDescent="0.25"/>
  <cols>
    <col min="1" max="1" width="11" customWidth="1"/>
    <col min="2" max="17" width="15" customWidth="1"/>
    <col min="18" max="18" width="16.375" customWidth="1"/>
    <col min="19" max="19" width="13.625" customWidth="1"/>
    <col min="20" max="20" width="16.625" customWidth="1"/>
    <col min="21" max="21" width="15.25" customWidth="1"/>
    <col min="22" max="22" width="14.5" customWidth="1"/>
    <col min="23" max="23" width="13.875" customWidth="1"/>
    <col min="24" max="24" width="14.375" customWidth="1"/>
    <col min="25" max="25" width="15.5" customWidth="1"/>
    <col min="26" max="26" width="14.25" customWidth="1"/>
    <col min="27" max="27" width="12.375" customWidth="1"/>
    <col min="28" max="28" width="13.375" customWidth="1"/>
    <col min="29" max="30" width="12.125" customWidth="1"/>
    <col min="31" max="31" width="12.625" customWidth="1"/>
  </cols>
  <sheetData>
    <row r="1" spans="1:33" ht="19.0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3" spans="1:33" ht="29.9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55</v>
      </c>
      <c r="S3" s="4" t="s">
        <v>56</v>
      </c>
      <c r="T3" s="4" t="s">
        <v>57</v>
      </c>
      <c r="U3" s="4" t="s">
        <v>58</v>
      </c>
      <c r="V3" s="5" t="s">
        <v>59</v>
      </c>
      <c r="W3" s="5" t="s">
        <v>60</v>
      </c>
      <c r="X3" s="5" t="s">
        <v>61</v>
      </c>
      <c r="Y3" s="5" t="s">
        <v>62</v>
      </c>
      <c r="Z3" s="5" t="s">
        <v>63</v>
      </c>
      <c r="AA3" s="5" t="s">
        <v>64</v>
      </c>
      <c r="AB3" s="5" t="s">
        <v>65</v>
      </c>
      <c r="AC3" s="5" t="s">
        <v>66</v>
      </c>
      <c r="AD3" s="5" t="s">
        <v>67</v>
      </c>
      <c r="AE3" s="5" t="s">
        <v>68</v>
      </c>
      <c r="AF3" s="4" t="s">
        <v>69</v>
      </c>
      <c r="AG3" s="4" t="s">
        <v>70</v>
      </c>
    </row>
    <row r="4" spans="1:33" x14ac:dyDescent="0.25">
      <c r="A4">
        <v>1</v>
      </c>
      <c r="B4" s="1">
        <v>0.8</v>
      </c>
      <c r="C4" s="1">
        <v>0.8</v>
      </c>
      <c r="D4" s="1">
        <v>0.8</v>
      </c>
      <c r="E4" s="1">
        <f t="shared" ref="E4:E16" si="0">AVERAGE(B4:D4)</f>
        <v>0.80000000000000016</v>
      </c>
      <c r="F4" s="1">
        <v>1</v>
      </c>
      <c r="G4" s="1">
        <f t="shared" ref="G4:G16" si="1">E4-F4</f>
        <v>-0.19999999999999984</v>
      </c>
      <c r="H4" s="1">
        <f t="shared" ref="H4:H16" si="2">ABS(G4)</f>
        <v>0.19999999999999984</v>
      </c>
      <c r="I4" s="1">
        <f t="shared" ref="I4:I16" si="3">G4^2</f>
        <v>3.9999999999999938E-2</v>
      </c>
      <c r="J4" s="1">
        <v>0</v>
      </c>
      <c r="K4" s="1">
        <v>0</v>
      </c>
      <c r="L4" s="1">
        <v>0</v>
      </c>
      <c r="M4" s="1">
        <f t="shared" ref="M4:M16" si="4">AVERAGE(J4:L4)</f>
        <v>0</v>
      </c>
      <c r="N4" s="1">
        <v>0</v>
      </c>
      <c r="O4" s="1">
        <f t="shared" ref="O4:O16" si="5">M4-N4</f>
        <v>0</v>
      </c>
      <c r="P4" s="1">
        <f t="shared" ref="P4:P16" si="6">ABS(O4)</f>
        <v>0</v>
      </c>
      <c r="Q4" s="1">
        <f t="shared" ref="Q4:Q16" si="7">O4^2</f>
        <v>0</v>
      </c>
      <c r="R4">
        <f>F4/3</f>
        <v>0.33333333333333331</v>
      </c>
      <c r="S4">
        <f>E4/3</f>
        <v>0.26666666666666672</v>
      </c>
      <c r="T4">
        <f>N4/3</f>
        <v>0</v>
      </c>
      <c r="U4">
        <f>M4/3</f>
        <v>0</v>
      </c>
      <c r="V4" s="2">
        <f t="shared" ref="V4:X16" si="8">B4+J4</f>
        <v>0.8</v>
      </c>
      <c r="W4" s="2">
        <f t="shared" si="8"/>
        <v>0.8</v>
      </c>
      <c r="X4" s="2">
        <f t="shared" si="8"/>
        <v>0.8</v>
      </c>
      <c r="Y4" s="2">
        <f t="shared" ref="Y4:Y16" si="9">AVERAGE(V4:X4)</f>
        <v>0.80000000000000016</v>
      </c>
      <c r="Z4" s="2">
        <f t="shared" ref="Z4:Z16" si="10">F4+N4</f>
        <v>1</v>
      </c>
      <c r="AA4" s="2">
        <f t="shared" ref="AA4:AA16" si="11">Y4-Z4</f>
        <v>-0.19999999999999984</v>
      </c>
      <c r="AB4" s="2">
        <f t="shared" ref="AB4:AB16" si="12">ABS(AA4)</f>
        <v>0.19999999999999984</v>
      </c>
      <c r="AC4" s="2">
        <f t="shared" ref="AC4:AC16" si="13">AA4^2</f>
        <v>3.9999999999999938E-2</v>
      </c>
      <c r="AD4" s="2">
        <f t="shared" ref="AD4:AD16" si="14">Z4/6</f>
        <v>0.16666666666666666</v>
      </c>
      <c r="AE4" s="2">
        <f t="shared" ref="AE4:AE16" si="15">Y4/6</f>
        <v>0.13333333333333336</v>
      </c>
      <c r="AF4">
        <v>0</v>
      </c>
      <c r="AG4">
        <v>0</v>
      </c>
    </row>
    <row r="5" spans="1:33" x14ac:dyDescent="0.25">
      <c r="A5">
        <v>2</v>
      </c>
      <c r="B5" s="1">
        <v>1.2</v>
      </c>
      <c r="C5" s="1">
        <v>1.2</v>
      </c>
      <c r="D5" s="1">
        <v>1.2</v>
      </c>
      <c r="E5" s="1">
        <f t="shared" si="0"/>
        <v>1.2</v>
      </c>
      <c r="F5" s="1">
        <v>1.4</v>
      </c>
      <c r="G5" s="1">
        <f t="shared" si="1"/>
        <v>-0.19999999999999996</v>
      </c>
      <c r="H5" s="1">
        <f t="shared" si="2"/>
        <v>0.19999999999999996</v>
      </c>
      <c r="I5" s="1">
        <f t="shared" si="3"/>
        <v>3.999999999999998E-2</v>
      </c>
      <c r="J5" s="1">
        <v>0</v>
      </c>
      <c r="K5" s="1">
        <v>0</v>
      </c>
      <c r="L5" s="1">
        <v>0</v>
      </c>
      <c r="M5" s="1">
        <f t="shared" si="4"/>
        <v>0</v>
      </c>
      <c r="N5" s="1">
        <v>0</v>
      </c>
      <c r="O5" s="1">
        <f t="shared" si="5"/>
        <v>0</v>
      </c>
      <c r="P5" s="1">
        <f t="shared" si="6"/>
        <v>0</v>
      </c>
      <c r="Q5" s="1">
        <f t="shared" si="7"/>
        <v>0</v>
      </c>
      <c r="R5">
        <f t="shared" ref="R5:R16" si="16">F5/3</f>
        <v>0.46666666666666662</v>
      </c>
      <c r="S5">
        <f t="shared" ref="S5:S16" si="17">E5/3</f>
        <v>0.39999999999999997</v>
      </c>
      <c r="T5">
        <f t="shared" ref="T5:T16" si="18">N5/3</f>
        <v>0</v>
      </c>
      <c r="U5">
        <f t="shared" ref="U5:U16" si="19">M5/3</f>
        <v>0</v>
      </c>
      <c r="V5" s="2">
        <f t="shared" si="8"/>
        <v>1.2</v>
      </c>
      <c r="W5" s="2">
        <f t="shared" si="8"/>
        <v>1.2</v>
      </c>
      <c r="X5" s="2">
        <f t="shared" si="8"/>
        <v>1.2</v>
      </c>
      <c r="Y5" s="2">
        <f t="shared" si="9"/>
        <v>1.2</v>
      </c>
      <c r="Z5" s="2">
        <f t="shared" si="10"/>
        <v>1.4</v>
      </c>
      <c r="AA5" s="2">
        <f t="shared" si="11"/>
        <v>-0.19999999999999996</v>
      </c>
      <c r="AB5" s="2">
        <f t="shared" si="12"/>
        <v>0.19999999999999996</v>
      </c>
      <c r="AC5" s="2">
        <f t="shared" si="13"/>
        <v>3.999999999999998E-2</v>
      </c>
      <c r="AD5" s="2">
        <f t="shared" si="14"/>
        <v>0.23333333333333331</v>
      </c>
      <c r="AE5" s="2">
        <f t="shared" si="15"/>
        <v>0.19999999999999998</v>
      </c>
      <c r="AF5">
        <v>1</v>
      </c>
      <c r="AG5">
        <v>1</v>
      </c>
    </row>
    <row r="6" spans="1:33" x14ac:dyDescent="0.25">
      <c r="A6">
        <v>3</v>
      </c>
      <c r="B6" s="1">
        <v>0.9</v>
      </c>
      <c r="C6" s="1">
        <v>1.3499999999999999</v>
      </c>
      <c r="D6" s="1">
        <v>1.2</v>
      </c>
      <c r="E6" s="1">
        <f t="shared" si="0"/>
        <v>1.1500000000000001</v>
      </c>
      <c r="F6" s="1">
        <v>1.6</v>
      </c>
      <c r="G6" s="1">
        <f t="shared" si="1"/>
        <v>-0.44999999999999996</v>
      </c>
      <c r="H6" s="1">
        <f t="shared" si="2"/>
        <v>0.44999999999999996</v>
      </c>
      <c r="I6" s="1">
        <f t="shared" si="3"/>
        <v>0.20249999999999996</v>
      </c>
      <c r="J6" s="1">
        <v>0</v>
      </c>
      <c r="K6" s="1">
        <v>0</v>
      </c>
      <c r="L6" s="1">
        <v>0</v>
      </c>
      <c r="M6" s="1">
        <f t="shared" si="4"/>
        <v>0</v>
      </c>
      <c r="N6" s="1">
        <v>0</v>
      </c>
      <c r="O6" s="1">
        <f t="shared" si="5"/>
        <v>0</v>
      </c>
      <c r="P6" s="1">
        <f t="shared" si="6"/>
        <v>0</v>
      </c>
      <c r="Q6" s="1">
        <f t="shared" si="7"/>
        <v>0</v>
      </c>
      <c r="R6">
        <f t="shared" si="16"/>
        <v>0.53333333333333333</v>
      </c>
      <c r="S6">
        <f t="shared" si="17"/>
        <v>0.38333333333333336</v>
      </c>
      <c r="T6">
        <f t="shared" si="18"/>
        <v>0</v>
      </c>
      <c r="U6">
        <f t="shared" si="19"/>
        <v>0</v>
      </c>
      <c r="V6" s="2">
        <f t="shared" si="8"/>
        <v>0.9</v>
      </c>
      <c r="W6" s="2">
        <f t="shared" si="8"/>
        <v>1.3499999999999999</v>
      </c>
      <c r="X6" s="2">
        <f t="shared" si="8"/>
        <v>1.2</v>
      </c>
      <c r="Y6" s="2">
        <f t="shared" si="9"/>
        <v>1.1500000000000001</v>
      </c>
      <c r="Z6" s="2">
        <f t="shared" si="10"/>
        <v>1.6</v>
      </c>
      <c r="AA6" s="2">
        <f t="shared" si="11"/>
        <v>-0.44999999999999996</v>
      </c>
      <c r="AB6" s="2">
        <f t="shared" si="12"/>
        <v>0.44999999999999996</v>
      </c>
      <c r="AC6" s="2">
        <f t="shared" si="13"/>
        <v>0.20249999999999996</v>
      </c>
      <c r="AD6" s="2">
        <f t="shared" si="14"/>
        <v>0.26666666666666666</v>
      </c>
      <c r="AE6" s="2">
        <f t="shared" si="15"/>
        <v>0.19166666666666668</v>
      </c>
    </row>
    <row r="7" spans="1:33" x14ac:dyDescent="0.25">
      <c r="A7">
        <v>4</v>
      </c>
      <c r="B7" s="1">
        <v>1.5</v>
      </c>
      <c r="C7" s="1">
        <v>1.6</v>
      </c>
      <c r="D7" s="1">
        <v>1.6</v>
      </c>
      <c r="E7" s="1">
        <f t="shared" si="0"/>
        <v>1.5666666666666667</v>
      </c>
      <c r="F7" s="1">
        <v>1.5</v>
      </c>
      <c r="G7" s="1">
        <f t="shared" si="1"/>
        <v>6.6666666666666652E-2</v>
      </c>
      <c r="H7" s="1">
        <f t="shared" si="2"/>
        <v>6.6666666666666652E-2</v>
      </c>
      <c r="I7" s="1">
        <f t="shared" si="3"/>
        <v>4.4444444444444427E-3</v>
      </c>
      <c r="J7" s="1">
        <v>0</v>
      </c>
      <c r="K7" s="1">
        <v>0</v>
      </c>
      <c r="L7" s="1">
        <v>0</v>
      </c>
      <c r="M7" s="1">
        <f t="shared" si="4"/>
        <v>0</v>
      </c>
      <c r="N7" s="1">
        <v>0</v>
      </c>
      <c r="O7" s="1">
        <f t="shared" si="5"/>
        <v>0</v>
      </c>
      <c r="P7" s="1">
        <f t="shared" si="6"/>
        <v>0</v>
      </c>
      <c r="Q7" s="1">
        <f t="shared" si="7"/>
        <v>0</v>
      </c>
      <c r="R7">
        <f t="shared" si="16"/>
        <v>0.5</v>
      </c>
      <c r="S7">
        <f t="shared" si="17"/>
        <v>0.52222222222222225</v>
      </c>
      <c r="T7">
        <f t="shared" si="18"/>
        <v>0</v>
      </c>
      <c r="U7">
        <f t="shared" si="19"/>
        <v>0</v>
      </c>
      <c r="V7" s="2">
        <f t="shared" si="8"/>
        <v>1.5</v>
      </c>
      <c r="W7" s="2">
        <f t="shared" si="8"/>
        <v>1.6</v>
      </c>
      <c r="X7" s="2">
        <f t="shared" si="8"/>
        <v>1.6</v>
      </c>
      <c r="Y7" s="2">
        <f t="shared" si="9"/>
        <v>1.5666666666666667</v>
      </c>
      <c r="Z7" s="2">
        <f t="shared" si="10"/>
        <v>1.5</v>
      </c>
      <c r="AA7" s="2">
        <f t="shared" si="11"/>
        <v>6.6666666666666652E-2</v>
      </c>
      <c r="AB7" s="2">
        <f t="shared" si="12"/>
        <v>6.6666666666666652E-2</v>
      </c>
      <c r="AC7" s="2">
        <f t="shared" si="13"/>
        <v>4.4444444444444427E-3</v>
      </c>
      <c r="AD7" s="2">
        <f t="shared" si="14"/>
        <v>0.25</v>
      </c>
      <c r="AE7" s="2">
        <f t="shared" si="15"/>
        <v>0.26111111111111113</v>
      </c>
    </row>
    <row r="8" spans="1:33" x14ac:dyDescent="0.25">
      <c r="A8">
        <v>5</v>
      </c>
      <c r="B8" s="1">
        <v>2.5</v>
      </c>
      <c r="C8" s="1">
        <v>2.5</v>
      </c>
      <c r="D8" s="1">
        <v>2.5</v>
      </c>
      <c r="E8" s="1">
        <f t="shared" si="0"/>
        <v>2.5</v>
      </c>
      <c r="F8" s="1">
        <v>2.1</v>
      </c>
      <c r="G8" s="1">
        <f t="shared" si="1"/>
        <v>0.39999999999999991</v>
      </c>
      <c r="H8" s="1">
        <f t="shared" si="2"/>
        <v>0.39999999999999991</v>
      </c>
      <c r="I8" s="1">
        <f t="shared" si="3"/>
        <v>0.15999999999999992</v>
      </c>
      <c r="J8" s="1">
        <v>1.05</v>
      </c>
      <c r="K8" s="1">
        <v>1.2</v>
      </c>
      <c r="L8" s="1">
        <v>1.1000000000000001</v>
      </c>
      <c r="M8" s="1">
        <f t="shared" si="4"/>
        <v>1.1166666666666667</v>
      </c>
      <c r="N8" s="1">
        <v>2.5</v>
      </c>
      <c r="O8" s="1">
        <f t="shared" si="5"/>
        <v>-1.3833333333333333</v>
      </c>
      <c r="P8" s="1">
        <f t="shared" si="6"/>
        <v>1.3833333333333333</v>
      </c>
      <c r="Q8" s="1">
        <f t="shared" si="7"/>
        <v>1.9136111111111109</v>
      </c>
      <c r="R8">
        <f t="shared" si="16"/>
        <v>0.70000000000000007</v>
      </c>
      <c r="S8">
        <f t="shared" si="17"/>
        <v>0.83333333333333337</v>
      </c>
      <c r="T8">
        <f t="shared" si="18"/>
        <v>0.83333333333333337</v>
      </c>
      <c r="U8">
        <f t="shared" si="19"/>
        <v>0.37222222222222223</v>
      </c>
      <c r="V8" s="2">
        <f t="shared" si="8"/>
        <v>3.55</v>
      </c>
      <c r="W8" s="2">
        <f t="shared" si="8"/>
        <v>3.7</v>
      </c>
      <c r="X8" s="2">
        <f t="shared" si="8"/>
        <v>3.6</v>
      </c>
      <c r="Y8" s="2">
        <f t="shared" si="9"/>
        <v>3.6166666666666667</v>
      </c>
      <c r="Z8" s="2">
        <f t="shared" si="10"/>
        <v>4.5999999999999996</v>
      </c>
      <c r="AA8" s="2">
        <f t="shared" si="11"/>
        <v>-0.98333333333333295</v>
      </c>
      <c r="AB8" s="2">
        <f t="shared" si="12"/>
        <v>0.98333333333333295</v>
      </c>
      <c r="AC8" s="2">
        <f t="shared" si="13"/>
        <v>0.96694444444444372</v>
      </c>
      <c r="AD8" s="2">
        <f t="shared" si="14"/>
        <v>0.76666666666666661</v>
      </c>
      <c r="AE8" s="2">
        <f t="shared" si="15"/>
        <v>0.60277777777777775</v>
      </c>
    </row>
    <row r="9" spans="1:33" x14ac:dyDescent="0.25">
      <c r="A9">
        <v>7</v>
      </c>
      <c r="B9" s="1">
        <v>1</v>
      </c>
      <c r="C9" s="1">
        <v>0.8</v>
      </c>
      <c r="D9" s="1">
        <v>1.2</v>
      </c>
      <c r="E9" s="1">
        <f t="shared" si="0"/>
        <v>1</v>
      </c>
      <c r="F9" s="1">
        <v>1.5</v>
      </c>
      <c r="G9" s="1">
        <f t="shared" si="1"/>
        <v>-0.5</v>
      </c>
      <c r="H9" s="1">
        <f t="shared" si="2"/>
        <v>0.5</v>
      </c>
      <c r="I9" s="1">
        <f t="shared" si="3"/>
        <v>0.25</v>
      </c>
      <c r="J9" s="1">
        <v>0.6</v>
      </c>
      <c r="K9" s="1">
        <v>0.3</v>
      </c>
      <c r="L9" s="1">
        <v>0.4</v>
      </c>
      <c r="M9" s="1">
        <f t="shared" si="4"/>
        <v>0.43333333333333329</v>
      </c>
      <c r="N9" s="1">
        <v>0</v>
      </c>
      <c r="O9" s="1">
        <f t="shared" si="5"/>
        <v>0.43333333333333329</v>
      </c>
      <c r="P9" s="1">
        <f t="shared" si="6"/>
        <v>0.43333333333333329</v>
      </c>
      <c r="Q9" s="1">
        <f t="shared" si="7"/>
        <v>0.18777777777777774</v>
      </c>
      <c r="R9">
        <f t="shared" si="16"/>
        <v>0.5</v>
      </c>
      <c r="S9">
        <f t="shared" si="17"/>
        <v>0.33333333333333331</v>
      </c>
      <c r="T9">
        <f t="shared" si="18"/>
        <v>0</v>
      </c>
      <c r="U9">
        <f t="shared" si="19"/>
        <v>0.14444444444444443</v>
      </c>
      <c r="V9" s="2">
        <f t="shared" si="8"/>
        <v>1.6</v>
      </c>
      <c r="W9" s="2">
        <f t="shared" si="8"/>
        <v>1.1000000000000001</v>
      </c>
      <c r="X9" s="2">
        <f t="shared" si="8"/>
        <v>1.6</v>
      </c>
      <c r="Y9" s="2">
        <f t="shared" si="9"/>
        <v>1.4333333333333336</v>
      </c>
      <c r="Z9" s="2">
        <f t="shared" si="10"/>
        <v>1.5</v>
      </c>
      <c r="AA9" s="2">
        <f t="shared" si="11"/>
        <v>-6.666666666666643E-2</v>
      </c>
      <c r="AB9" s="2">
        <f t="shared" si="12"/>
        <v>6.666666666666643E-2</v>
      </c>
      <c r="AC9" s="2">
        <f t="shared" si="13"/>
        <v>4.4444444444444132E-3</v>
      </c>
      <c r="AD9" s="2">
        <f t="shared" si="14"/>
        <v>0.25</v>
      </c>
      <c r="AE9" s="2">
        <f t="shared" si="15"/>
        <v>0.23888888888888893</v>
      </c>
    </row>
    <row r="10" spans="1:33" x14ac:dyDescent="0.25">
      <c r="A10">
        <v>8</v>
      </c>
      <c r="B10" s="1">
        <v>2.5</v>
      </c>
      <c r="C10" s="1">
        <v>2.5</v>
      </c>
      <c r="D10" s="1">
        <v>2.5</v>
      </c>
      <c r="E10" s="1">
        <f t="shared" si="0"/>
        <v>2.5</v>
      </c>
      <c r="F10" s="1">
        <v>2.6500000000000004</v>
      </c>
      <c r="G10" s="1">
        <f t="shared" si="1"/>
        <v>-0.15000000000000036</v>
      </c>
      <c r="H10" s="1">
        <f t="shared" si="2"/>
        <v>0.15000000000000036</v>
      </c>
      <c r="I10" s="1">
        <f t="shared" si="3"/>
        <v>2.2500000000000107E-2</v>
      </c>
      <c r="J10" s="1">
        <v>1.45</v>
      </c>
      <c r="K10" s="1">
        <v>1.5</v>
      </c>
      <c r="L10" s="1">
        <v>1.4</v>
      </c>
      <c r="M10" s="1">
        <f t="shared" si="4"/>
        <v>1.45</v>
      </c>
      <c r="N10" s="1">
        <v>3</v>
      </c>
      <c r="O10" s="1">
        <f t="shared" si="5"/>
        <v>-1.55</v>
      </c>
      <c r="P10" s="1">
        <f t="shared" si="6"/>
        <v>1.55</v>
      </c>
      <c r="Q10" s="1">
        <f t="shared" si="7"/>
        <v>2.4025000000000003</v>
      </c>
      <c r="R10">
        <f t="shared" si="16"/>
        <v>0.88333333333333341</v>
      </c>
      <c r="S10">
        <f t="shared" si="17"/>
        <v>0.83333333333333337</v>
      </c>
      <c r="T10">
        <f t="shared" si="18"/>
        <v>1</v>
      </c>
      <c r="U10">
        <f t="shared" si="19"/>
        <v>0.48333333333333334</v>
      </c>
      <c r="V10" s="2">
        <f t="shared" si="8"/>
        <v>3.95</v>
      </c>
      <c r="W10" s="2">
        <f t="shared" si="8"/>
        <v>4</v>
      </c>
      <c r="X10" s="2">
        <f t="shared" si="8"/>
        <v>3.9</v>
      </c>
      <c r="Y10" s="2">
        <f t="shared" si="9"/>
        <v>3.9499999999999997</v>
      </c>
      <c r="Z10" s="2">
        <f t="shared" si="10"/>
        <v>5.65</v>
      </c>
      <c r="AA10" s="2">
        <f t="shared" si="11"/>
        <v>-1.7000000000000006</v>
      </c>
      <c r="AB10" s="2">
        <f t="shared" si="12"/>
        <v>1.7000000000000006</v>
      </c>
      <c r="AC10" s="2">
        <f t="shared" si="13"/>
        <v>2.8900000000000019</v>
      </c>
      <c r="AD10" s="2">
        <f t="shared" si="14"/>
        <v>0.94166666666666676</v>
      </c>
      <c r="AE10" s="2">
        <f t="shared" si="15"/>
        <v>0.65833333333333333</v>
      </c>
    </row>
    <row r="11" spans="1:33" x14ac:dyDescent="0.25">
      <c r="A11">
        <v>9</v>
      </c>
      <c r="B11" s="1">
        <v>1.5499999999999998</v>
      </c>
      <c r="C11" s="1">
        <v>1.75</v>
      </c>
      <c r="D11" s="1">
        <v>1.75</v>
      </c>
      <c r="E11" s="1">
        <f t="shared" si="0"/>
        <v>1.6833333333333333</v>
      </c>
      <c r="F11" s="1">
        <v>1.7999999999999998</v>
      </c>
      <c r="G11" s="1">
        <f t="shared" si="1"/>
        <v>-0.11666666666666647</v>
      </c>
      <c r="H11" s="1">
        <f t="shared" si="2"/>
        <v>0.11666666666666647</v>
      </c>
      <c r="I11" s="1">
        <f t="shared" si="3"/>
        <v>1.3611111111111067E-2</v>
      </c>
      <c r="J11" s="1">
        <v>0.75</v>
      </c>
      <c r="K11" s="1">
        <v>0.65</v>
      </c>
      <c r="L11" s="1">
        <v>0.8</v>
      </c>
      <c r="M11" s="1">
        <f t="shared" si="4"/>
        <v>0.73333333333333339</v>
      </c>
      <c r="N11" s="1">
        <v>2.75</v>
      </c>
      <c r="O11" s="1">
        <f t="shared" si="5"/>
        <v>-2.0166666666666666</v>
      </c>
      <c r="P11" s="1">
        <f t="shared" si="6"/>
        <v>2.0166666666666666</v>
      </c>
      <c r="Q11" s="1">
        <f t="shared" si="7"/>
        <v>4.0669444444444443</v>
      </c>
      <c r="R11">
        <f t="shared" si="16"/>
        <v>0.6</v>
      </c>
      <c r="S11">
        <f t="shared" si="17"/>
        <v>0.56111111111111112</v>
      </c>
      <c r="T11">
        <f t="shared" si="18"/>
        <v>0.91666666666666663</v>
      </c>
      <c r="U11">
        <f t="shared" si="19"/>
        <v>0.24444444444444446</v>
      </c>
      <c r="V11" s="2">
        <f t="shared" si="8"/>
        <v>2.2999999999999998</v>
      </c>
      <c r="W11" s="2">
        <f t="shared" si="8"/>
        <v>2.4</v>
      </c>
      <c r="X11" s="2">
        <f t="shared" si="8"/>
        <v>2.5499999999999998</v>
      </c>
      <c r="Y11" s="2">
        <f t="shared" si="9"/>
        <v>2.4166666666666665</v>
      </c>
      <c r="Z11" s="2">
        <f t="shared" si="10"/>
        <v>4.55</v>
      </c>
      <c r="AA11" s="2">
        <f t="shared" si="11"/>
        <v>-2.1333333333333333</v>
      </c>
      <c r="AB11" s="2">
        <f t="shared" si="12"/>
        <v>2.1333333333333333</v>
      </c>
      <c r="AC11" s="2">
        <f t="shared" si="13"/>
        <v>4.5511111111111111</v>
      </c>
      <c r="AD11" s="2">
        <f t="shared" si="14"/>
        <v>0.7583333333333333</v>
      </c>
      <c r="AE11" s="2">
        <f t="shared" si="15"/>
        <v>0.40277777777777773</v>
      </c>
    </row>
    <row r="12" spans="1:33" x14ac:dyDescent="0.25">
      <c r="A12">
        <v>10</v>
      </c>
      <c r="B12" s="1">
        <v>1.85</v>
      </c>
      <c r="C12" s="1">
        <v>1.85</v>
      </c>
      <c r="D12" s="1">
        <v>1.85</v>
      </c>
      <c r="E12" s="1">
        <f t="shared" si="0"/>
        <v>1.8500000000000003</v>
      </c>
      <c r="F12" s="1">
        <v>2</v>
      </c>
      <c r="G12" s="1">
        <f t="shared" si="1"/>
        <v>-0.14999999999999969</v>
      </c>
      <c r="H12" s="1">
        <f t="shared" si="2"/>
        <v>0.14999999999999969</v>
      </c>
      <c r="I12" s="1">
        <f t="shared" si="3"/>
        <v>2.2499999999999905E-2</v>
      </c>
      <c r="J12" s="1">
        <v>0</v>
      </c>
      <c r="K12" s="1">
        <v>0</v>
      </c>
      <c r="L12" s="1">
        <v>0</v>
      </c>
      <c r="M12" s="1">
        <f t="shared" si="4"/>
        <v>0</v>
      </c>
      <c r="N12" s="1">
        <v>0</v>
      </c>
      <c r="O12" s="1">
        <f t="shared" si="5"/>
        <v>0</v>
      </c>
      <c r="P12" s="1">
        <f t="shared" si="6"/>
        <v>0</v>
      </c>
      <c r="Q12" s="1">
        <f t="shared" si="7"/>
        <v>0</v>
      </c>
      <c r="R12">
        <f t="shared" si="16"/>
        <v>0.66666666666666663</v>
      </c>
      <c r="S12">
        <f t="shared" si="17"/>
        <v>0.61666666666666681</v>
      </c>
      <c r="T12">
        <f t="shared" si="18"/>
        <v>0</v>
      </c>
      <c r="U12">
        <f t="shared" si="19"/>
        <v>0</v>
      </c>
      <c r="V12" s="2">
        <f t="shared" si="8"/>
        <v>1.85</v>
      </c>
      <c r="W12" s="2">
        <f t="shared" si="8"/>
        <v>1.85</v>
      </c>
      <c r="X12" s="2">
        <f t="shared" si="8"/>
        <v>1.85</v>
      </c>
      <c r="Y12" s="2">
        <f t="shared" si="9"/>
        <v>1.8500000000000003</v>
      </c>
      <c r="Z12" s="2">
        <f t="shared" si="10"/>
        <v>2</v>
      </c>
      <c r="AA12" s="2">
        <f t="shared" si="11"/>
        <v>-0.14999999999999969</v>
      </c>
      <c r="AB12" s="2">
        <f t="shared" si="12"/>
        <v>0.14999999999999969</v>
      </c>
      <c r="AC12" s="2">
        <f t="shared" si="13"/>
        <v>2.2499999999999905E-2</v>
      </c>
      <c r="AD12" s="2">
        <f t="shared" si="14"/>
        <v>0.33333333333333331</v>
      </c>
      <c r="AE12" s="2">
        <f t="shared" si="15"/>
        <v>0.3083333333333334</v>
      </c>
    </row>
    <row r="13" spans="1:33" x14ac:dyDescent="0.25">
      <c r="A13">
        <v>11</v>
      </c>
      <c r="B13" s="1">
        <v>1.2</v>
      </c>
      <c r="C13" s="1">
        <v>1</v>
      </c>
      <c r="D13" s="1">
        <v>1.2</v>
      </c>
      <c r="E13" s="1">
        <f t="shared" si="0"/>
        <v>1.1333333333333335</v>
      </c>
      <c r="F13" s="1">
        <v>1</v>
      </c>
      <c r="G13" s="1">
        <f t="shared" si="1"/>
        <v>0.13333333333333353</v>
      </c>
      <c r="H13" s="1">
        <f t="shared" si="2"/>
        <v>0.13333333333333353</v>
      </c>
      <c r="I13" s="1">
        <f t="shared" si="3"/>
        <v>1.777777777777783E-2</v>
      </c>
      <c r="J13" s="1">
        <v>0.6</v>
      </c>
      <c r="K13" s="1">
        <v>0.4</v>
      </c>
      <c r="L13" s="1">
        <v>0.5</v>
      </c>
      <c r="M13" s="1">
        <f t="shared" si="4"/>
        <v>0.5</v>
      </c>
      <c r="N13" s="1">
        <v>2.5</v>
      </c>
      <c r="O13" s="1">
        <f t="shared" si="5"/>
        <v>-2</v>
      </c>
      <c r="P13" s="1">
        <f t="shared" si="6"/>
        <v>2</v>
      </c>
      <c r="Q13" s="1">
        <f t="shared" si="7"/>
        <v>4</v>
      </c>
      <c r="R13">
        <f t="shared" si="16"/>
        <v>0.33333333333333331</v>
      </c>
      <c r="S13">
        <f t="shared" si="17"/>
        <v>0.37777777777777782</v>
      </c>
      <c r="T13">
        <f t="shared" si="18"/>
        <v>0.83333333333333337</v>
      </c>
      <c r="U13">
        <f t="shared" si="19"/>
        <v>0.16666666666666666</v>
      </c>
      <c r="V13" s="2">
        <f t="shared" si="8"/>
        <v>1.7999999999999998</v>
      </c>
      <c r="W13" s="2">
        <f t="shared" si="8"/>
        <v>1.4</v>
      </c>
      <c r="X13" s="2">
        <f t="shared" si="8"/>
        <v>1.7</v>
      </c>
      <c r="Y13" s="2">
        <f t="shared" si="9"/>
        <v>1.6333333333333331</v>
      </c>
      <c r="Z13" s="2">
        <f t="shared" si="10"/>
        <v>3.5</v>
      </c>
      <c r="AA13" s="2">
        <f t="shared" si="11"/>
        <v>-1.8666666666666669</v>
      </c>
      <c r="AB13" s="2">
        <f t="shared" si="12"/>
        <v>1.8666666666666669</v>
      </c>
      <c r="AC13" s="2">
        <f t="shared" si="13"/>
        <v>3.4844444444444456</v>
      </c>
      <c r="AD13" s="2">
        <f t="shared" si="14"/>
        <v>0.58333333333333337</v>
      </c>
      <c r="AE13" s="2">
        <f t="shared" si="15"/>
        <v>0.2722222222222222</v>
      </c>
    </row>
    <row r="14" spans="1:33" x14ac:dyDescent="0.25">
      <c r="A14">
        <v>12</v>
      </c>
      <c r="B14" s="1">
        <v>1.2</v>
      </c>
      <c r="C14" s="1">
        <v>1.2</v>
      </c>
      <c r="D14" s="1">
        <v>1.2</v>
      </c>
      <c r="E14" s="1">
        <f t="shared" si="0"/>
        <v>1.2</v>
      </c>
      <c r="F14" s="1">
        <v>1.5</v>
      </c>
      <c r="G14" s="1">
        <f t="shared" si="1"/>
        <v>-0.30000000000000004</v>
      </c>
      <c r="H14" s="1">
        <f t="shared" si="2"/>
        <v>0.30000000000000004</v>
      </c>
      <c r="I14" s="1">
        <f t="shared" si="3"/>
        <v>9.0000000000000024E-2</v>
      </c>
      <c r="J14" s="1">
        <v>1.8</v>
      </c>
      <c r="K14" s="1">
        <v>1.8</v>
      </c>
      <c r="L14" s="1">
        <v>1.9</v>
      </c>
      <c r="M14" s="1">
        <f t="shared" si="4"/>
        <v>1.8333333333333333</v>
      </c>
      <c r="N14" s="1">
        <v>2</v>
      </c>
      <c r="O14" s="1">
        <f t="shared" si="5"/>
        <v>-0.16666666666666674</v>
      </c>
      <c r="P14" s="1">
        <f t="shared" si="6"/>
        <v>0.16666666666666674</v>
      </c>
      <c r="Q14" s="1">
        <f t="shared" si="7"/>
        <v>2.7777777777777804E-2</v>
      </c>
      <c r="R14">
        <f t="shared" si="16"/>
        <v>0.5</v>
      </c>
      <c r="S14">
        <f t="shared" si="17"/>
        <v>0.39999999999999997</v>
      </c>
      <c r="T14">
        <f t="shared" si="18"/>
        <v>0.66666666666666663</v>
      </c>
      <c r="U14">
        <f t="shared" si="19"/>
        <v>0.61111111111111105</v>
      </c>
      <c r="V14" s="2">
        <f t="shared" si="8"/>
        <v>3</v>
      </c>
      <c r="W14" s="2">
        <f t="shared" si="8"/>
        <v>3</v>
      </c>
      <c r="X14" s="2">
        <f t="shared" si="8"/>
        <v>3.0999999999999996</v>
      </c>
      <c r="Y14" s="2">
        <f t="shared" si="9"/>
        <v>3.0333333333333332</v>
      </c>
      <c r="Z14" s="2">
        <f t="shared" si="10"/>
        <v>3.5</v>
      </c>
      <c r="AA14" s="2">
        <f t="shared" si="11"/>
        <v>-0.46666666666666679</v>
      </c>
      <c r="AB14" s="2">
        <f t="shared" si="12"/>
        <v>0.46666666666666679</v>
      </c>
      <c r="AC14" s="2">
        <f t="shared" si="13"/>
        <v>0.21777777777777788</v>
      </c>
      <c r="AD14" s="2">
        <f t="shared" si="14"/>
        <v>0.58333333333333337</v>
      </c>
      <c r="AE14" s="2">
        <f t="shared" si="15"/>
        <v>0.50555555555555554</v>
      </c>
    </row>
    <row r="15" spans="1:33" x14ac:dyDescent="0.25">
      <c r="A15">
        <v>13</v>
      </c>
      <c r="B15" s="1">
        <v>2.2000000000000002</v>
      </c>
      <c r="C15" s="1">
        <v>2.2999999999999998</v>
      </c>
      <c r="D15" s="1">
        <v>2.2000000000000002</v>
      </c>
      <c r="E15" s="1">
        <f t="shared" si="0"/>
        <v>2.2333333333333334</v>
      </c>
      <c r="F15" s="1">
        <v>2.1</v>
      </c>
      <c r="G15" s="1">
        <f t="shared" si="1"/>
        <v>0.1333333333333333</v>
      </c>
      <c r="H15" s="1">
        <f t="shared" si="2"/>
        <v>0.1333333333333333</v>
      </c>
      <c r="I15" s="1">
        <f t="shared" si="3"/>
        <v>1.7777777777777771E-2</v>
      </c>
      <c r="J15" s="1">
        <v>0</v>
      </c>
      <c r="K15" s="1">
        <v>0</v>
      </c>
      <c r="L15" s="1">
        <v>0</v>
      </c>
      <c r="M15" s="1">
        <f t="shared" si="4"/>
        <v>0</v>
      </c>
      <c r="N15" s="1">
        <v>0</v>
      </c>
      <c r="O15" s="1">
        <f t="shared" si="5"/>
        <v>0</v>
      </c>
      <c r="P15" s="1">
        <f t="shared" si="6"/>
        <v>0</v>
      </c>
      <c r="Q15" s="1">
        <f t="shared" si="7"/>
        <v>0</v>
      </c>
      <c r="R15">
        <f t="shared" si="16"/>
        <v>0.70000000000000007</v>
      </c>
      <c r="S15">
        <f t="shared" si="17"/>
        <v>0.74444444444444446</v>
      </c>
      <c r="T15">
        <f t="shared" si="18"/>
        <v>0</v>
      </c>
      <c r="U15">
        <f t="shared" si="19"/>
        <v>0</v>
      </c>
      <c r="V15" s="2">
        <f t="shared" si="8"/>
        <v>2.2000000000000002</v>
      </c>
      <c r="W15" s="2">
        <f t="shared" si="8"/>
        <v>2.2999999999999998</v>
      </c>
      <c r="X15" s="2">
        <f t="shared" si="8"/>
        <v>2.2000000000000002</v>
      </c>
      <c r="Y15" s="2">
        <f t="shared" si="9"/>
        <v>2.2333333333333334</v>
      </c>
      <c r="Z15" s="2">
        <f t="shared" si="10"/>
        <v>2.1</v>
      </c>
      <c r="AA15" s="2">
        <f t="shared" si="11"/>
        <v>0.1333333333333333</v>
      </c>
      <c r="AB15" s="2">
        <f t="shared" si="12"/>
        <v>0.1333333333333333</v>
      </c>
      <c r="AC15" s="2">
        <f t="shared" si="13"/>
        <v>1.7777777777777771E-2</v>
      </c>
      <c r="AD15" s="2">
        <f t="shared" si="14"/>
        <v>0.35000000000000003</v>
      </c>
      <c r="AE15" s="2">
        <f t="shared" si="15"/>
        <v>0.37222222222222223</v>
      </c>
    </row>
    <row r="16" spans="1:33" x14ac:dyDescent="0.25">
      <c r="A16">
        <v>14</v>
      </c>
      <c r="B16" s="1">
        <v>2.8</v>
      </c>
      <c r="C16" s="1">
        <v>2.8</v>
      </c>
      <c r="D16" s="1">
        <v>2.8</v>
      </c>
      <c r="E16" s="1">
        <f t="shared" si="0"/>
        <v>2.7999999999999994</v>
      </c>
      <c r="F16" s="1">
        <v>2.8</v>
      </c>
      <c r="G16" s="1">
        <f t="shared" si="1"/>
        <v>0</v>
      </c>
      <c r="H16" s="1">
        <f t="shared" si="2"/>
        <v>0</v>
      </c>
      <c r="I16" s="1">
        <f t="shared" si="3"/>
        <v>0</v>
      </c>
      <c r="J16" s="1">
        <v>1.2</v>
      </c>
      <c r="K16" s="1">
        <v>1</v>
      </c>
      <c r="L16" s="1">
        <v>1.2</v>
      </c>
      <c r="M16" s="1">
        <f t="shared" si="4"/>
        <v>1.1333333333333335</v>
      </c>
      <c r="N16" s="1">
        <v>3</v>
      </c>
      <c r="O16" s="1">
        <f t="shared" si="5"/>
        <v>-1.8666666666666665</v>
      </c>
      <c r="P16" s="1">
        <f t="shared" si="6"/>
        <v>1.8666666666666665</v>
      </c>
      <c r="Q16" s="1">
        <f t="shared" si="7"/>
        <v>3.4844444444444438</v>
      </c>
      <c r="R16">
        <f t="shared" si="16"/>
        <v>0.93333333333333324</v>
      </c>
      <c r="S16">
        <f t="shared" si="17"/>
        <v>0.93333333333333313</v>
      </c>
      <c r="T16">
        <f t="shared" si="18"/>
        <v>1</v>
      </c>
      <c r="U16">
        <f t="shared" si="19"/>
        <v>0.37777777777777782</v>
      </c>
      <c r="V16" s="2">
        <f t="shared" si="8"/>
        <v>4</v>
      </c>
      <c r="W16" s="2">
        <f t="shared" si="8"/>
        <v>3.8</v>
      </c>
      <c r="X16" s="2">
        <f t="shared" si="8"/>
        <v>4</v>
      </c>
      <c r="Y16" s="2">
        <f t="shared" si="9"/>
        <v>3.9333333333333336</v>
      </c>
      <c r="Z16" s="2">
        <f t="shared" si="10"/>
        <v>5.8</v>
      </c>
      <c r="AA16" s="2">
        <f t="shared" si="11"/>
        <v>-1.8666666666666663</v>
      </c>
      <c r="AB16" s="2">
        <f t="shared" si="12"/>
        <v>1.8666666666666663</v>
      </c>
      <c r="AC16" s="2">
        <f t="shared" si="13"/>
        <v>3.4844444444444429</v>
      </c>
      <c r="AD16" s="2">
        <f t="shared" si="14"/>
        <v>0.96666666666666667</v>
      </c>
      <c r="AE16" s="2">
        <f t="shared" si="15"/>
        <v>0.65555555555555556</v>
      </c>
    </row>
    <row r="18" spans="1:17" x14ac:dyDescent="0.25">
      <c r="A18" s="12" t="s">
        <v>18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</sheetData>
  <mergeCells count="2">
    <mergeCell ref="A18:Q18"/>
    <mergeCell ref="A1:A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tabSelected="1" workbookViewId="0">
      <selection activeCell="I8" sqref="I8"/>
    </sheetView>
  </sheetViews>
  <sheetFormatPr defaultRowHeight="14.3" x14ac:dyDescent="0.25"/>
  <cols>
    <col min="1" max="1" width="20" customWidth="1"/>
    <col min="2" max="2" width="14" customWidth="1"/>
    <col min="3" max="3" width="18" customWidth="1"/>
    <col min="4" max="4" width="19.625" customWidth="1"/>
    <col min="5" max="5" width="21.25" customWidth="1"/>
    <col min="8" max="8" width="18.5" customWidth="1"/>
    <col min="9" max="9" width="18.625" customWidth="1"/>
    <col min="11" max="11" width="24.5" customWidth="1"/>
    <col min="12" max="12" width="13.625" customWidth="1"/>
  </cols>
  <sheetData>
    <row r="1" spans="1:12" ht="19.05" customHeight="1" x14ac:dyDescent="0.25">
      <c r="A1" s="14" t="s">
        <v>19</v>
      </c>
      <c r="B1" s="14"/>
      <c r="C1" s="14"/>
      <c r="D1" s="14"/>
      <c r="E1" s="14"/>
      <c r="G1" s="23" t="s">
        <v>101</v>
      </c>
      <c r="H1" s="23"/>
      <c r="I1" s="23"/>
      <c r="J1" s="23"/>
      <c r="K1" s="23"/>
      <c r="L1" s="23"/>
    </row>
    <row r="2" spans="1:12" ht="14.3" customHeight="1" x14ac:dyDescent="0.25">
      <c r="G2" s="15"/>
      <c r="H2" s="15"/>
      <c r="I2" s="15"/>
    </row>
    <row r="3" spans="1:12" ht="42.8" customHeight="1" x14ac:dyDescent="0.25">
      <c r="A3" s="3" t="s">
        <v>20</v>
      </c>
      <c r="B3" s="7" t="s">
        <v>21</v>
      </c>
      <c r="C3" s="3" t="s">
        <v>22</v>
      </c>
      <c r="D3" s="3" t="s">
        <v>23</v>
      </c>
      <c r="E3" s="3" t="s">
        <v>24</v>
      </c>
      <c r="G3" s="24" t="s">
        <v>1</v>
      </c>
      <c r="H3" s="25" t="s">
        <v>95</v>
      </c>
      <c r="I3" s="26" t="s">
        <v>96</v>
      </c>
      <c r="K3" s="24" t="s">
        <v>97</v>
      </c>
      <c r="L3" s="26" t="s">
        <v>41</v>
      </c>
    </row>
    <row r="4" spans="1:12" x14ac:dyDescent="0.25">
      <c r="A4" s="6" t="s">
        <v>74</v>
      </c>
      <c r="B4" t="s">
        <v>25</v>
      </c>
      <c r="C4" s="1">
        <f>AVERAGE('Paired data'!H4:H16)</f>
        <v>0.21538461538461534</v>
      </c>
      <c r="D4" s="1">
        <f>AVERAGE('Paired data'!I4:I16)</f>
        <v>6.7777777777777742E-2</v>
      </c>
      <c r="E4" s="1">
        <f>SQRT(D4)</f>
        <v>0.26034165586355507</v>
      </c>
      <c r="G4" s="16">
        <f>'Paired data'!A4</f>
        <v>1</v>
      </c>
      <c r="H4" s="17">
        <f>_xlfn.STDEV.S('Paired data'!V4:X4)</f>
        <v>1.3597399555105182E-16</v>
      </c>
      <c r="I4" s="18">
        <f t="shared" ref="I4:I16" si="0">H4/6</f>
        <v>2.2662332591841969E-17</v>
      </c>
      <c r="K4" s="19" t="s">
        <v>98</v>
      </c>
      <c r="L4" s="18">
        <f>AVERAGE(H4:H16)</f>
        <v>9.7450191491369811E-2</v>
      </c>
    </row>
    <row r="5" spans="1:12" ht="15.65" customHeight="1" x14ac:dyDescent="0.25">
      <c r="A5" s="6" t="s">
        <v>73</v>
      </c>
      <c r="B5" t="s">
        <v>25</v>
      </c>
      <c r="C5" s="1">
        <f>AVERAGE('Paired data'!P4:P16)</f>
        <v>0.72435897435897434</v>
      </c>
      <c r="D5" s="1">
        <f>AVERAGE('Paired data'!Q4:Q16)</f>
        <v>1.2371581196581194</v>
      </c>
      <c r="E5" s="1">
        <f>SQRT(D5)</f>
        <v>1.1122760986635105</v>
      </c>
      <c r="G5" s="16">
        <f>'Paired data'!A5</f>
        <v>2</v>
      </c>
      <c r="H5" s="17">
        <f>_xlfn.STDEV.S('Paired data'!V5:X5)</f>
        <v>0</v>
      </c>
      <c r="I5" s="18">
        <f t="shared" si="0"/>
        <v>0</v>
      </c>
      <c r="K5" s="27" t="s">
        <v>99</v>
      </c>
      <c r="L5" s="28">
        <f>AVERAGE(I4:I16)</f>
        <v>1.6241698581894972E-2</v>
      </c>
    </row>
    <row r="6" spans="1:12" x14ac:dyDescent="0.25">
      <c r="A6" s="6" t="s">
        <v>74</v>
      </c>
      <c r="B6" t="s">
        <v>26</v>
      </c>
      <c r="C6" s="1">
        <f>C4/3</f>
        <v>7.1794871794871776E-2</v>
      </c>
      <c r="D6" s="1">
        <f>D4/9</f>
        <v>7.5308641975308606E-3</v>
      </c>
      <c r="E6" s="1">
        <f>E4/3</f>
        <v>8.6780551954518351E-2</v>
      </c>
      <c r="G6" s="16">
        <f>'Paired data'!A6</f>
        <v>3</v>
      </c>
      <c r="H6" s="17">
        <f>_xlfn.STDEV.S('Paired data'!V6:X6)</f>
        <v>0.22912878474779103</v>
      </c>
      <c r="I6" s="18">
        <f t="shared" si="0"/>
        <v>3.8188130791298507E-2</v>
      </c>
      <c r="K6" s="20" t="s">
        <v>100</v>
      </c>
      <c r="L6" s="21">
        <f>COUNT(G4:G16)</f>
        <v>13</v>
      </c>
    </row>
    <row r="7" spans="1:12" x14ac:dyDescent="0.25">
      <c r="A7" s="6" t="s">
        <v>73</v>
      </c>
      <c r="B7" t="s">
        <v>26</v>
      </c>
      <c r="C7" s="1">
        <f>C5/3</f>
        <v>0.24145299145299146</v>
      </c>
      <c r="D7" s="1">
        <f>D5/9</f>
        <v>0.1374620132953466</v>
      </c>
      <c r="E7" s="1">
        <f>E5/3</f>
        <v>0.37075869955450352</v>
      </c>
      <c r="G7" s="16">
        <f>'Paired data'!A7</f>
        <v>4</v>
      </c>
      <c r="H7" s="17">
        <f>_xlfn.STDEV.S('Paired data'!V7:X7)</f>
        <v>5.773502691896263E-2</v>
      </c>
      <c r="I7" s="18">
        <f t="shared" si="0"/>
        <v>9.6225044864937711E-3</v>
      </c>
    </row>
    <row r="8" spans="1:12" x14ac:dyDescent="0.25">
      <c r="G8" s="16">
        <f>'Paired data'!A8</f>
        <v>5</v>
      </c>
      <c r="H8" s="17">
        <f>_xlfn.STDEV.S('Paired data'!V8:X8)</f>
        <v>7.6376261582597499E-2</v>
      </c>
      <c r="I8" s="18">
        <f t="shared" si="0"/>
        <v>1.2729376930432917E-2</v>
      </c>
    </row>
    <row r="9" spans="1:12" x14ac:dyDescent="0.25">
      <c r="A9" s="12"/>
      <c r="B9" s="12"/>
      <c r="C9" s="12"/>
      <c r="D9" s="12"/>
      <c r="E9" s="12"/>
      <c r="G9" s="16">
        <f>'Paired data'!A9</f>
        <v>7</v>
      </c>
      <c r="H9" s="17">
        <f>_xlfn.STDEV.S('Paired data'!V9:X9)</f>
        <v>0.28867513459481237</v>
      </c>
      <c r="I9" s="18">
        <f t="shared" si="0"/>
        <v>4.8112522432468725E-2</v>
      </c>
    </row>
    <row r="10" spans="1:12" x14ac:dyDescent="0.25">
      <c r="A10" s="12"/>
      <c r="B10" s="12"/>
      <c r="C10" s="12"/>
      <c r="D10" s="12"/>
      <c r="E10" s="12"/>
      <c r="G10" s="16">
        <f>'Paired data'!A10</f>
        <v>8</v>
      </c>
      <c r="H10" s="17">
        <f>_xlfn.STDEV.S('Paired data'!V10:X10)</f>
        <v>5.0000000000000044E-2</v>
      </c>
      <c r="I10" s="18">
        <f t="shared" si="0"/>
        <v>8.3333333333333402E-3</v>
      </c>
    </row>
    <row r="11" spans="1:12" x14ac:dyDescent="0.25">
      <c r="A11" t="s">
        <v>71</v>
      </c>
      <c r="B11" t="s">
        <v>72</v>
      </c>
      <c r="C11" s="2">
        <f>AVERAGE('Paired data'!AB4:AB16)</f>
        <v>0.79102564102564088</v>
      </c>
      <c r="D11" s="2">
        <f>AVERAGE('Paired data'!AC4:AC16)</f>
        <v>1.2251068376068375</v>
      </c>
      <c r="E11" s="2">
        <f>SQRT(D11)</f>
        <v>1.1068454443176958</v>
      </c>
      <c r="G11" s="16">
        <f>'Paired data'!A11</f>
        <v>9</v>
      </c>
      <c r="H11" s="17">
        <f>_xlfn.STDEV.S('Paired data'!V11:X11)</f>
        <v>0.12583057392117916</v>
      </c>
      <c r="I11" s="18">
        <f t="shared" si="0"/>
        <v>2.0971762320196527E-2</v>
      </c>
    </row>
    <row r="12" spans="1:12" x14ac:dyDescent="0.25">
      <c r="A12" t="s">
        <v>71</v>
      </c>
      <c r="B12" t="s">
        <v>26</v>
      </c>
      <c r="C12" s="2">
        <f>C11/6</f>
        <v>0.13183760683760681</v>
      </c>
      <c r="D12" s="2">
        <f>D11/36</f>
        <v>3.403074548907882E-2</v>
      </c>
      <c r="E12" s="2">
        <f>E11/6</f>
        <v>0.18447424071961596</v>
      </c>
      <c r="G12" s="16">
        <f>'Paired data'!A12</f>
        <v>10</v>
      </c>
      <c r="H12" s="17">
        <f>_xlfn.STDEV.S('Paired data'!V12:X12)</f>
        <v>2.7194799110210365E-16</v>
      </c>
      <c r="I12" s="18">
        <f t="shared" si="0"/>
        <v>4.5324665183683939E-17</v>
      </c>
    </row>
    <row r="13" spans="1:12" x14ac:dyDescent="0.25">
      <c r="G13" s="16">
        <f>'Paired data'!A13</f>
        <v>11</v>
      </c>
      <c r="H13" s="17">
        <f>_xlfn.STDEV.S('Paired data'!V13:X13)</f>
        <v>0.2081665999466146</v>
      </c>
      <c r="I13" s="18">
        <f t="shared" si="0"/>
        <v>3.4694433324435767E-2</v>
      </c>
    </row>
    <row r="14" spans="1:12" x14ac:dyDescent="0.25">
      <c r="G14" s="16">
        <f>'Paired data'!A14</f>
        <v>12</v>
      </c>
      <c r="H14" s="17">
        <f>_xlfn.STDEV.S('Paired data'!V14:X14)</f>
        <v>5.7735026918962373E-2</v>
      </c>
      <c r="I14" s="18">
        <f t="shared" si="0"/>
        <v>9.6225044864937295E-3</v>
      </c>
    </row>
    <row r="15" spans="1:12" x14ac:dyDescent="0.25">
      <c r="G15" s="16">
        <f>'Paired data'!A15</f>
        <v>13</v>
      </c>
      <c r="H15" s="17">
        <f>_xlfn.STDEV.S('Paired data'!V15:X15)</f>
        <v>5.7735026918962373E-2</v>
      </c>
      <c r="I15" s="18">
        <f t="shared" si="0"/>
        <v>9.6225044864937295E-3</v>
      </c>
    </row>
    <row r="16" spans="1:12" x14ac:dyDescent="0.25">
      <c r="G16" s="16">
        <f>'Paired data'!A16</f>
        <v>14</v>
      </c>
      <c r="H16" s="17">
        <f>_xlfn.STDEV.S('Paired data'!V16:X16)</f>
        <v>0.11547005383792526</v>
      </c>
      <c r="I16" s="22">
        <f t="shared" si="0"/>
        <v>1.9245008972987542E-2</v>
      </c>
    </row>
  </sheetData>
  <mergeCells count="4">
    <mergeCell ref="A1:E1"/>
    <mergeCell ref="A9:E10"/>
    <mergeCell ref="G2:I2"/>
    <mergeCell ref="G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F22" sqref="F22"/>
    </sheetView>
  </sheetViews>
  <sheetFormatPr defaultRowHeight="14.3" x14ac:dyDescent="0.25"/>
  <cols>
    <col min="1" max="1" width="11" customWidth="1"/>
    <col min="2" max="12" width="14" customWidth="1"/>
    <col min="13" max="13" width="26" customWidth="1"/>
    <col min="14" max="14" width="18" customWidth="1"/>
  </cols>
  <sheetData>
    <row r="1" spans="1:14" ht="19.05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A2" s="12" t="s">
        <v>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28.55" x14ac:dyDescent="0.25">
      <c r="A4" s="3" t="s">
        <v>1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</row>
    <row r="5" spans="1:14" x14ac:dyDescent="0.25">
      <c r="A5">
        <f>'Paired data'!A4</f>
        <v>1</v>
      </c>
      <c r="B5" s="1">
        <f>'Paired data'!B4+'Paired data'!J4</f>
        <v>0.8</v>
      </c>
      <c r="C5" s="1">
        <f>'Paired data'!C4+'Paired data'!K4</f>
        <v>0.8</v>
      </c>
      <c r="D5" s="1">
        <f>'Paired data'!D4+'Paired data'!L4</f>
        <v>0.8</v>
      </c>
      <c r="E5" s="1">
        <f t="shared" ref="E5:E17" si="0">AVERAGE(B5:D5)</f>
        <v>0.80000000000000016</v>
      </c>
      <c r="F5" s="1">
        <f t="shared" ref="F5:F17" si="1">B5-E5-$B$21+$E$21</f>
        <v>1.2820512820512331E-2</v>
      </c>
      <c r="G5" s="1">
        <f t="shared" ref="G5:G17" si="2">C5-E5-$C$21+$E$21</f>
        <v>2.4358974358973828E-2</v>
      </c>
      <c r="H5" s="1">
        <f t="shared" ref="H5:H17" si="3">D5-E5-$D$21+$E$21</f>
        <v>-3.7179487179487491E-2</v>
      </c>
      <c r="I5" s="1">
        <f t="shared" ref="I5:I17" si="4">F5^2</f>
        <v>1.6436554898092105E-4</v>
      </c>
      <c r="J5" s="1">
        <f t="shared" ref="J5:J17" si="5">G5^2</f>
        <v>5.9335963182114446E-4</v>
      </c>
      <c r="K5" s="1">
        <f t="shared" ref="K5:K17" si="6">H5^2</f>
        <v>1.3823142669296747E-3</v>
      </c>
      <c r="L5" s="1">
        <f t="shared" ref="L5:L17" si="7">(E5-$E$21)^2</f>
        <v>2.0069444444444429</v>
      </c>
      <c r="M5" s="1" t="s">
        <v>42</v>
      </c>
      <c r="N5" s="1">
        <v>13</v>
      </c>
    </row>
    <row r="6" spans="1:14" x14ac:dyDescent="0.25">
      <c r="A6">
        <f>'Paired data'!A5</f>
        <v>2</v>
      </c>
      <c r="B6" s="1">
        <f>'Paired data'!B5+'Paired data'!J5</f>
        <v>1.2</v>
      </c>
      <c r="C6" s="1">
        <f>'Paired data'!C5+'Paired data'!K5</f>
        <v>1.2</v>
      </c>
      <c r="D6" s="1">
        <f>'Paired data'!D5+'Paired data'!L5</f>
        <v>1.2</v>
      </c>
      <c r="E6" s="1">
        <f t="shared" si="0"/>
        <v>1.2</v>
      </c>
      <c r="F6" s="1">
        <f t="shared" si="1"/>
        <v>1.2820512820512331E-2</v>
      </c>
      <c r="G6" s="1">
        <f t="shared" si="2"/>
        <v>2.4358974358973828E-2</v>
      </c>
      <c r="H6" s="1">
        <f t="shared" si="3"/>
        <v>-3.7179487179487491E-2</v>
      </c>
      <c r="I6" s="1">
        <f t="shared" si="4"/>
        <v>1.6436554898092105E-4</v>
      </c>
      <c r="J6" s="1">
        <f t="shared" si="5"/>
        <v>5.9335963182114446E-4</v>
      </c>
      <c r="K6" s="1">
        <f t="shared" si="6"/>
        <v>1.3823142669296747E-3</v>
      </c>
      <c r="L6" s="1">
        <f t="shared" si="7"/>
        <v>1.0336111111111106</v>
      </c>
      <c r="M6" s="1" t="s">
        <v>43</v>
      </c>
      <c r="N6" s="1">
        <v>3</v>
      </c>
    </row>
    <row r="7" spans="1:14" x14ac:dyDescent="0.25">
      <c r="A7">
        <f>'Paired data'!A6</f>
        <v>3</v>
      </c>
      <c r="B7" s="1">
        <f>'Paired data'!B6+'Paired data'!J6</f>
        <v>0.9</v>
      </c>
      <c r="C7" s="1">
        <f>'Paired data'!C6+'Paired data'!K6</f>
        <v>1.3499999999999999</v>
      </c>
      <c r="D7" s="1">
        <f>'Paired data'!D6+'Paired data'!L6</f>
        <v>1.2</v>
      </c>
      <c r="E7" s="1">
        <f t="shared" si="0"/>
        <v>1.1500000000000001</v>
      </c>
      <c r="F7" s="1">
        <f t="shared" si="1"/>
        <v>-0.23717948717948767</v>
      </c>
      <c r="G7" s="1">
        <f t="shared" si="2"/>
        <v>0.22435897435897356</v>
      </c>
      <c r="H7" s="1">
        <f t="shared" si="3"/>
        <v>1.2820512820512331E-2</v>
      </c>
      <c r="I7" s="1">
        <f t="shared" si="4"/>
        <v>5.6254109138724757E-2</v>
      </c>
      <c r="J7" s="1">
        <f t="shared" si="5"/>
        <v>5.0336949375410556E-2</v>
      </c>
      <c r="K7" s="1">
        <f t="shared" si="6"/>
        <v>1.6436554898092105E-4</v>
      </c>
      <c r="L7" s="1">
        <f t="shared" si="7"/>
        <v>1.1377777777777769</v>
      </c>
      <c r="M7" s="1" t="s">
        <v>44</v>
      </c>
      <c r="N7" s="1">
        <f>3*SUM(L5:L17)/(13-1)</f>
        <v>3.5769444444444436</v>
      </c>
    </row>
    <row r="8" spans="1:14" x14ac:dyDescent="0.25">
      <c r="A8">
        <f>'Paired data'!A7</f>
        <v>4</v>
      </c>
      <c r="B8" s="1">
        <f>'Paired data'!B7+'Paired data'!J7</f>
        <v>1.5</v>
      </c>
      <c r="C8" s="1">
        <f>'Paired data'!C7+'Paired data'!K7</f>
        <v>1.6</v>
      </c>
      <c r="D8" s="1">
        <f>'Paired data'!D7+'Paired data'!L7</f>
        <v>1.6</v>
      </c>
      <c r="E8" s="1">
        <f t="shared" si="0"/>
        <v>1.5666666666666667</v>
      </c>
      <c r="F8" s="1">
        <f t="shared" si="1"/>
        <v>-5.3846153846154099E-2</v>
      </c>
      <c r="G8" s="1">
        <f t="shared" si="2"/>
        <v>5.7692307692307043E-2</v>
      </c>
      <c r="H8" s="1">
        <f t="shared" si="3"/>
        <v>-3.8461538461542766E-3</v>
      </c>
      <c r="I8" s="1">
        <f t="shared" si="4"/>
        <v>2.8994082840236961E-3</v>
      </c>
      <c r="J8" s="1">
        <f t="shared" si="5"/>
        <v>3.3284023668638304E-3</v>
      </c>
      <c r="K8" s="1">
        <f t="shared" si="6"/>
        <v>1.4792899408287335E-5</v>
      </c>
      <c r="L8" s="1">
        <f t="shared" si="7"/>
        <v>0.4224999999999996</v>
      </c>
      <c r="M8" s="1" t="s">
        <v>45</v>
      </c>
      <c r="N8" s="1">
        <f>13*((B21-E21)^2+(C21-E21)^2+(D21-E21)^2)/(3-1)</f>
        <v>1.3910256410256313E-2</v>
      </c>
    </row>
    <row r="9" spans="1:14" x14ac:dyDescent="0.25">
      <c r="A9">
        <f>'Paired data'!A8</f>
        <v>5</v>
      </c>
      <c r="B9" s="1">
        <f>'Paired data'!B8+'Paired data'!J8</f>
        <v>3.55</v>
      </c>
      <c r="C9" s="1">
        <f>'Paired data'!C8+'Paired data'!K8</f>
        <v>3.7</v>
      </c>
      <c r="D9" s="1">
        <f>'Paired data'!D8+'Paired data'!L8</f>
        <v>3.6</v>
      </c>
      <c r="E9" s="1">
        <f t="shared" si="0"/>
        <v>3.6166666666666667</v>
      </c>
      <c r="F9" s="1">
        <f t="shared" si="1"/>
        <v>-5.3846153846154543E-2</v>
      </c>
      <c r="G9" s="1">
        <f t="shared" si="2"/>
        <v>0.10769230769230731</v>
      </c>
      <c r="H9" s="1">
        <f t="shared" si="3"/>
        <v>-5.3846153846154099E-2</v>
      </c>
      <c r="I9" s="1">
        <f t="shared" si="4"/>
        <v>2.8994082840237438E-3</v>
      </c>
      <c r="J9" s="1">
        <f t="shared" si="5"/>
        <v>1.1597633136094592E-2</v>
      </c>
      <c r="K9" s="1">
        <f t="shared" si="6"/>
        <v>2.8994082840236961E-3</v>
      </c>
      <c r="L9" s="1">
        <f t="shared" si="7"/>
        <v>1.9600000000000011</v>
      </c>
      <c r="M9" s="1" t="s">
        <v>46</v>
      </c>
      <c r="N9" s="1">
        <f>SUM(I5:K17)/((13-1)*(3-1))</f>
        <v>1.7729700854700856E-2</v>
      </c>
    </row>
    <row r="10" spans="1:14" x14ac:dyDescent="0.25">
      <c r="A10">
        <f>'Paired data'!A9</f>
        <v>7</v>
      </c>
      <c r="B10" s="1">
        <f>'Paired data'!B9+'Paired data'!J9</f>
        <v>1.6</v>
      </c>
      <c r="C10" s="1">
        <f>'Paired data'!C9+'Paired data'!K9</f>
        <v>1.1000000000000001</v>
      </c>
      <c r="D10" s="1">
        <f>'Paired data'!D9+'Paired data'!L9</f>
        <v>1.6</v>
      </c>
      <c r="E10" s="1">
        <f t="shared" si="0"/>
        <v>1.4333333333333336</v>
      </c>
      <c r="F10" s="1">
        <f t="shared" si="1"/>
        <v>0.17948717948717885</v>
      </c>
      <c r="G10" s="1">
        <f t="shared" si="2"/>
        <v>-0.30897435897435965</v>
      </c>
      <c r="H10" s="1">
        <f t="shared" si="3"/>
        <v>0.12948717948717903</v>
      </c>
      <c r="I10" s="1">
        <f t="shared" si="4"/>
        <v>3.2215647600262756E-2</v>
      </c>
      <c r="J10" s="1">
        <f t="shared" si="5"/>
        <v>9.5465154503616464E-2</v>
      </c>
      <c r="K10" s="1">
        <f t="shared" si="6"/>
        <v>1.6766929651544919E-2</v>
      </c>
      <c r="L10" s="1">
        <f t="shared" si="7"/>
        <v>0.61361111111111022</v>
      </c>
      <c r="M10" s="1" t="s">
        <v>47</v>
      </c>
      <c r="N10" s="1">
        <f>(N7-N9)/(N7+(3-1)*N9+3*(N8-N9)/13)</f>
        <v>0.9855164426537214</v>
      </c>
    </row>
    <row r="11" spans="1:14" x14ac:dyDescent="0.25">
      <c r="A11">
        <f>'Paired data'!A10</f>
        <v>8</v>
      </c>
      <c r="B11">
        <f>'Paired data'!B10+'Paired data'!J10</f>
        <v>3.95</v>
      </c>
      <c r="C11">
        <f>'Paired data'!C10+'Paired data'!K10</f>
        <v>4</v>
      </c>
      <c r="D11">
        <f>'Paired data'!D10+'Paired data'!L10</f>
        <v>3.9</v>
      </c>
      <c r="E11">
        <f t="shared" si="0"/>
        <v>3.9499999999999997</v>
      </c>
      <c r="F11">
        <f t="shared" si="1"/>
        <v>1.2820512820512775E-2</v>
      </c>
      <c r="G11">
        <f t="shared" si="2"/>
        <v>7.4358974358974095E-2</v>
      </c>
      <c r="H11">
        <f t="shared" si="3"/>
        <v>-8.7179487179487314E-2</v>
      </c>
      <c r="I11">
        <f t="shared" si="4"/>
        <v>1.6436554898093244E-4</v>
      </c>
      <c r="J11">
        <f t="shared" si="5"/>
        <v>5.529257067718567E-3</v>
      </c>
      <c r="K11">
        <f t="shared" si="6"/>
        <v>7.6002629848783932E-3</v>
      </c>
      <c r="L11">
        <f t="shared" si="7"/>
        <v>3.0044444444444447</v>
      </c>
      <c r="M11" t="s">
        <v>48</v>
      </c>
      <c r="N11" t="s">
        <v>49</v>
      </c>
    </row>
    <row r="12" spans="1:14" x14ac:dyDescent="0.25">
      <c r="A12">
        <f>'Paired data'!A11</f>
        <v>9</v>
      </c>
      <c r="B12">
        <f>'Paired data'!B11+'Paired data'!J11</f>
        <v>2.2999999999999998</v>
      </c>
      <c r="C12">
        <f>'Paired data'!C11+'Paired data'!K11</f>
        <v>2.4</v>
      </c>
      <c r="D12">
        <f>'Paired data'!D11+'Paired data'!L11</f>
        <v>2.5499999999999998</v>
      </c>
      <c r="E12">
        <f t="shared" si="0"/>
        <v>2.4166666666666665</v>
      </c>
      <c r="F12">
        <f t="shared" si="1"/>
        <v>-0.10384615384615437</v>
      </c>
      <c r="G12">
        <f t="shared" si="2"/>
        <v>7.6923076923072209E-3</v>
      </c>
      <c r="H12">
        <f t="shared" si="3"/>
        <v>9.6153846153845812E-2</v>
      </c>
      <c r="I12">
        <f t="shared" si="4"/>
        <v>1.0784023668639162E-2</v>
      </c>
      <c r="J12">
        <f t="shared" si="5"/>
        <v>5.9171597633128843E-5</v>
      </c>
      <c r="K12">
        <f t="shared" si="6"/>
        <v>9.2455621301774493E-3</v>
      </c>
      <c r="L12">
        <f t="shared" si="7"/>
        <v>4.000000000000007E-2</v>
      </c>
    </row>
    <row r="13" spans="1:14" x14ac:dyDescent="0.25">
      <c r="A13">
        <f>'Paired data'!A12</f>
        <v>10</v>
      </c>
      <c r="B13">
        <f>'Paired data'!B12+'Paired data'!J12</f>
        <v>1.85</v>
      </c>
      <c r="C13">
        <f>'Paired data'!C12+'Paired data'!K12</f>
        <v>1.85</v>
      </c>
      <c r="D13">
        <f>'Paired data'!D12+'Paired data'!L12</f>
        <v>1.85</v>
      </c>
      <c r="E13">
        <f t="shared" si="0"/>
        <v>1.8500000000000003</v>
      </c>
      <c r="F13">
        <f t="shared" si="1"/>
        <v>1.2820512820512331E-2</v>
      </c>
      <c r="G13">
        <f t="shared" si="2"/>
        <v>2.4358974358973828E-2</v>
      </c>
      <c r="H13">
        <f t="shared" si="3"/>
        <v>-3.7179487179487491E-2</v>
      </c>
      <c r="I13">
        <f t="shared" si="4"/>
        <v>1.6436554898092105E-4</v>
      </c>
      <c r="J13">
        <f t="shared" si="5"/>
        <v>5.9335963182114446E-4</v>
      </c>
      <c r="K13">
        <f t="shared" si="6"/>
        <v>1.3823142669296747E-3</v>
      </c>
      <c r="L13">
        <f t="shared" si="7"/>
        <v>0.13444444444444398</v>
      </c>
    </row>
    <row r="14" spans="1:14" x14ac:dyDescent="0.25">
      <c r="A14">
        <f>'Paired data'!A13</f>
        <v>11</v>
      </c>
      <c r="B14">
        <f>'Paired data'!B13+'Paired data'!J13</f>
        <v>1.7999999999999998</v>
      </c>
      <c r="C14">
        <f>'Paired data'!C13+'Paired data'!K13</f>
        <v>1.4</v>
      </c>
      <c r="D14">
        <f>'Paired data'!D13+'Paired data'!L13</f>
        <v>1.7</v>
      </c>
      <c r="E14">
        <f t="shared" si="0"/>
        <v>1.6333333333333331</v>
      </c>
      <c r="F14">
        <f t="shared" si="1"/>
        <v>0.17948717948717929</v>
      </c>
      <c r="G14">
        <f t="shared" si="2"/>
        <v>-0.20897435897435956</v>
      </c>
      <c r="H14">
        <f t="shared" si="3"/>
        <v>2.9487179487179382E-2</v>
      </c>
      <c r="I14">
        <f t="shared" si="4"/>
        <v>3.2215647600262916E-2</v>
      </c>
      <c r="J14">
        <f t="shared" si="5"/>
        <v>4.3670282708744491E-2</v>
      </c>
      <c r="K14">
        <f t="shared" si="6"/>
        <v>8.694937541091325E-4</v>
      </c>
      <c r="L14">
        <f t="shared" si="7"/>
        <v>0.34027777777777768</v>
      </c>
    </row>
    <row r="15" spans="1:14" x14ac:dyDescent="0.25">
      <c r="A15">
        <f>'Paired data'!A14</f>
        <v>12</v>
      </c>
      <c r="B15">
        <f>'Paired data'!B14+'Paired data'!J14</f>
        <v>3</v>
      </c>
      <c r="C15">
        <f>'Paired data'!C14+'Paired data'!K14</f>
        <v>3</v>
      </c>
      <c r="D15">
        <f>'Paired data'!D14+'Paired data'!L14</f>
        <v>3.0999999999999996</v>
      </c>
      <c r="E15">
        <f t="shared" si="0"/>
        <v>3.0333333333333332</v>
      </c>
      <c r="F15">
        <f t="shared" si="1"/>
        <v>-2.0512820512820884E-2</v>
      </c>
      <c r="G15">
        <f t="shared" si="2"/>
        <v>-8.9743589743593866E-3</v>
      </c>
      <c r="H15">
        <f t="shared" si="3"/>
        <v>2.9487179487178938E-2</v>
      </c>
      <c r="I15">
        <f t="shared" si="4"/>
        <v>4.2077580539120525E-4</v>
      </c>
      <c r="J15">
        <f t="shared" si="5"/>
        <v>8.0539119000664855E-5</v>
      </c>
      <c r="K15">
        <f t="shared" si="6"/>
        <v>8.6949375410910637E-4</v>
      </c>
      <c r="L15">
        <f t="shared" si="7"/>
        <v>0.66694444444444478</v>
      </c>
    </row>
    <row r="16" spans="1:14" x14ac:dyDescent="0.25">
      <c r="A16">
        <f>'Paired data'!A15</f>
        <v>13</v>
      </c>
      <c r="B16">
        <f>'Paired data'!B15+'Paired data'!J15</f>
        <v>2.2000000000000002</v>
      </c>
      <c r="C16">
        <f>'Paired data'!C15+'Paired data'!K15</f>
        <v>2.2999999999999998</v>
      </c>
      <c r="D16">
        <f>'Paired data'!D15+'Paired data'!L15</f>
        <v>2.2000000000000002</v>
      </c>
      <c r="E16">
        <f t="shared" si="0"/>
        <v>2.2333333333333334</v>
      </c>
      <c r="F16">
        <f t="shared" si="1"/>
        <v>-2.0512820512820884E-2</v>
      </c>
      <c r="G16">
        <f t="shared" si="2"/>
        <v>9.1025641025640258E-2</v>
      </c>
      <c r="H16">
        <f t="shared" si="3"/>
        <v>-7.0512820512820706E-2</v>
      </c>
      <c r="I16">
        <f t="shared" si="4"/>
        <v>4.2077580539120525E-4</v>
      </c>
      <c r="J16">
        <f t="shared" si="5"/>
        <v>8.2856673241287222E-3</v>
      </c>
      <c r="K16">
        <f t="shared" si="6"/>
        <v>4.972057856673269E-3</v>
      </c>
      <c r="L16">
        <f t="shared" si="7"/>
        <v>2.7777777777779063E-4</v>
      </c>
    </row>
    <row r="17" spans="1:12" x14ac:dyDescent="0.25">
      <c r="A17">
        <f>'Paired data'!A16</f>
        <v>14</v>
      </c>
      <c r="B17">
        <f>'Paired data'!B16+'Paired data'!J16</f>
        <v>4</v>
      </c>
      <c r="C17">
        <f>'Paired data'!C16+'Paired data'!K16</f>
        <v>3.8</v>
      </c>
      <c r="D17">
        <f>'Paired data'!D16+'Paired data'!L16</f>
        <v>4</v>
      </c>
      <c r="E17">
        <f t="shared" si="0"/>
        <v>3.9333333333333336</v>
      </c>
      <c r="F17">
        <f t="shared" si="1"/>
        <v>7.9487179487178761E-2</v>
      </c>
      <c r="G17">
        <f t="shared" si="2"/>
        <v>-0.10897435897435992</v>
      </c>
      <c r="H17">
        <f t="shared" si="3"/>
        <v>2.9487179487178938E-2</v>
      </c>
      <c r="I17">
        <f t="shared" si="4"/>
        <v>6.3182117028269718E-3</v>
      </c>
      <c r="J17">
        <f t="shared" si="5"/>
        <v>1.1875410913872658E-2</v>
      </c>
      <c r="K17">
        <f t="shared" si="6"/>
        <v>8.6949375410910637E-4</v>
      </c>
      <c r="L17">
        <f t="shared" si="7"/>
        <v>2.9469444444444464</v>
      </c>
    </row>
    <row r="20" spans="1:12" x14ac:dyDescent="0.25">
      <c r="A20" s="3" t="s">
        <v>50</v>
      </c>
      <c r="B20" s="3" t="s">
        <v>51</v>
      </c>
      <c r="C20" s="3" t="s">
        <v>52</v>
      </c>
      <c r="D20" s="3" t="s">
        <v>53</v>
      </c>
      <c r="E20" s="3" t="s">
        <v>54</v>
      </c>
    </row>
    <row r="21" spans="1:12" x14ac:dyDescent="0.25">
      <c r="B21">
        <f>AVERAGE(B5:B17)</f>
        <v>2.203846153846154</v>
      </c>
      <c r="C21">
        <f>AVERAGE(C5:C17)</f>
        <v>2.1923076923076925</v>
      </c>
      <c r="D21">
        <f>AVERAGE(D5:D17)</f>
        <v>2.2538461538461538</v>
      </c>
      <c r="E21">
        <f>AVERAGE(B5:D17)</f>
        <v>2.2166666666666663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B590-301D-48E0-B838-EDD6A21468A8}">
  <dimension ref="A1:K21"/>
  <sheetViews>
    <sheetView workbookViewId="0">
      <selection activeCell="A11" sqref="A11"/>
    </sheetView>
  </sheetViews>
  <sheetFormatPr defaultRowHeight="14.3" x14ac:dyDescent="0.25"/>
  <cols>
    <col min="1" max="1" width="12" customWidth="1"/>
    <col min="2" max="3" width="22" customWidth="1"/>
    <col min="4" max="4" width="3" customWidth="1"/>
    <col min="5" max="5" width="24" customWidth="1"/>
    <col min="6" max="8" width="16" customWidth="1"/>
    <col min="9" max="9" width="3" customWidth="1"/>
    <col min="10" max="10" width="20" customWidth="1"/>
    <col min="11" max="11" width="18" customWidth="1"/>
  </cols>
  <sheetData>
    <row r="1" spans="1:11" ht="19.05" x14ac:dyDescent="0.25">
      <c r="A1" s="13" t="s">
        <v>93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26.15" customHeight="1" x14ac:dyDescent="0.25">
      <c r="A3" s="11" t="s">
        <v>94</v>
      </c>
      <c r="B3" s="12"/>
      <c r="C3" s="12"/>
      <c r="D3" s="12"/>
      <c r="E3" s="12"/>
      <c r="F3" s="12"/>
      <c r="G3" s="12"/>
      <c r="H3" s="12"/>
    </row>
    <row r="5" spans="1:11" x14ac:dyDescent="0.25">
      <c r="A5" s="9" t="s">
        <v>1</v>
      </c>
      <c r="B5" s="9" t="s">
        <v>75</v>
      </c>
      <c r="C5" s="9" t="s">
        <v>76</v>
      </c>
      <c r="E5" s="9" t="s">
        <v>77</v>
      </c>
      <c r="F5" s="9" t="s">
        <v>78</v>
      </c>
      <c r="G5" s="9" t="s">
        <v>79</v>
      </c>
      <c r="H5" s="9" t="s">
        <v>80</v>
      </c>
      <c r="J5" s="9" t="s">
        <v>81</v>
      </c>
      <c r="K5" s="9" t="s">
        <v>41</v>
      </c>
    </row>
    <row r="6" spans="1:11" x14ac:dyDescent="0.25">
      <c r="A6">
        <f>'Paired data'!A4</f>
        <v>1</v>
      </c>
      <c r="B6" s="8">
        <f>'Paired data'!AB4/6</f>
        <v>3.3333333333333305E-2</v>
      </c>
      <c r="C6" s="8">
        <f>'Paired data'!AC4/36</f>
        <v>1.1111111111111094E-3</v>
      </c>
      <c r="E6" t="s">
        <v>22</v>
      </c>
      <c r="F6" s="2">
        <f>AVERAGE(B6:B18)</f>
        <v>0.13183760683760681</v>
      </c>
      <c r="G6" s="2">
        <f>MAX(0,F6-K9*_xlfn.STDEV.S(B6:B18)/SQRT(K6))</f>
        <v>5.0679653852927803E-2</v>
      </c>
      <c r="H6" s="2">
        <f>F6+K9*_xlfn.STDEV.S(B6:B18)/SQRT(K6)</f>
        <v>0.21299555982228582</v>
      </c>
      <c r="J6" t="s">
        <v>42</v>
      </c>
      <c r="K6" s="8">
        <f>COUNT(B6:B18)</f>
        <v>13</v>
      </c>
    </row>
    <row r="7" spans="1:11" x14ac:dyDescent="0.25">
      <c r="A7">
        <f>'Paired data'!A5</f>
        <v>2</v>
      </c>
      <c r="B7" s="8">
        <f>'Paired data'!AB5/6</f>
        <v>3.3333333333333326E-2</v>
      </c>
      <c r="C7" s="8">
        <f>'Paired data'!AC5/36</f>
        <v>1.1111111111111105E-3</v>
      </c>
      <c r="E7" t="s">
        <v>23</v>
      </c>
      <c r="F7" s="2">
        <f>AVERAGE(C6:C18)</f>
        <v>3.403074548907882E-2</v>
      </c>
      <c r="G7" s="2">
        <f>MAX(0,F7-K9*_xlfn.STDEV.S(C6:C18)/SQRT(K6))</f>
        <v>5.4193006215694818E-3</v>
      </c>
      <c r="H7" s="2">
        <f>F7+K9*_xlfn.STDEV.S(C6:C18)/SQRT(K6)</f>
        <v>6.2642190356588162E-2</v>
      </c>
      <c r="J7" t="s">
        <v>82</v>
      </c>
      <c r="K7" s="8">
        <f>K6-1</f>
        <v>12</v>
      </c>
    </row>
    <row r="8" spans="1:11" x14ac:dyDescent="0.25">
      <c r="A8">
        <f>'Paired data'!A6</f>
        <v>3</v>
      </c>
      <c r="B8" s="8">
        <f>'Paired data'!AB6/6</f>
        <v>7.4999999999999997E-2</v>
      </c>
      <c r="C8" s="8">
        <f>'Paired data'!AC6/36</f>
        <v>5.6249999999999989E-3</v>
      </c>
      <c r="E8" t="s">
        <v>24</v>
      </c>
      <c r="F8" s="2">
        <f>SQRT(F7)</f>
        <v>0.18447424071961596</v>
      </c>
      <c r="G8" s="2">
        <f>SQRT(G7)</f>
        <v>7.3615899244453178E-2</v>
      </c>
      <c r="H8" s="2">
        <f>SQRT(H7)</f>
        <v>0.25028421915212345</v>
      </c>
      <c r="J8" t="s">
        <v>83</v>
      </c>
      <c r="K8" s="8">
        <v>0.05</v>
      </c>
    </row>
    <row r="9" spans="1:11" x14ac:dyDescent="0.25">
      <c r="A9">
        <f>'Paired data'!A7</f>
        <v>4</v>
      </c>
      <c r="B9" s="8">
        <f>'Paired data'!AB7/6</f>
        <v>1.1111111111111108E-2</v>
      </c>
      <c r="C9" s="8">
        <f>'Paired data'!AC7/36</f>
        <v>1.2345679012345674E-4</v>
      </c>
      <c r="J9" t="s">
        <v>84</v>
      </c>
      <c r="K9" s="8">
        <v>2.1788128296672284</v>
      </c>
    </row>
    <row r="10" spans="1:11" x14ac:dyDescent="0.25">
      <c r="A10">
        <f>'Paired data'!A8</f>
        <v>5</v>
      </c>
      <c r="B10" s="8">
        <f>'Paired data'!AB8/6</f>
        <v>0.16388888888888883</v>
      </c>
      <c r="C10" s="8">
        <f>'Paired data'!AC8/36</f>
        <v>2.6859567901234546E-2</v>
      </c>
      <c r="K10" s="8"/>
    </row>
    <row r="11" spans="1:11" x14ac:dyDescent="0.25">
      <c r="A11">
        <f>'Paired data'!A9</f>
        <v>7</v>
      </c>
      <c r="B11" s="8">
        <f>'Paired data'!AB9/6</f>
        <v>1.1111111111111072E-2</v>
      </c>
      <c r="C11" s="8">
        <f>'Paired data'!AC9/36</f>
        <v>1.2345679012345593E-4</v>
      </c>
      <c r="E11" s="9" t="s">
        <v>85</v>
      </c>
      <c r="F11" s="9" t="s">
        <v>78</v>
      </c>
      <c r="G11" s="9" t="s">
        <v>79</v>
      </c>
      <c r="H11" s="9" t="s">
        <v>80</v>
      </c>
      <c r="J11" s="9" t="s">
        <v>86</v>
      </c>
      <c r="K11" s="10" t="s">
        <v>41</v>
      </c>
    </row>
    <row r="12" spans="1:11" x14ac:dyDescent="0.25">
      <c r="A12">
        <f>'Paired data'!A10</f>
        <v>8</v>
      </c>
      <c r="B12" s="8">
        <f>'Paired data'!AB10/6</f>
        <v>0.28333333333333344</v>
      </c>
      <c r="C12" s="8">
        <f>'Paired data'!AC10/36</f>
        <v>8.0277777777777837E-2</v>
      </c>
      <c r="E12" t="s">
        <v>87</v>
      </c>
      <c r="F12" s="2">
        <f>ICC!N10</f>
        <v>0.9855164426537214</v>
      </c>
      <c r="G12" s="2">
        <f>K12*(K14-K19*K16)/(K19*(K13*K15+(K13*K12-K13-K12)*K16)+K12*K14)</f>
        <v>0.96409619364450483</v>
      </c>
      <c r="H12" s="2">
        <f>K12*(K20*K14-K16)/(K13*K15+(K13*K12-K13-K12)*K16+K12*K20*K14)</f>
        <v>0.99515359430305728</v>
      </c>
      <c r="J12" t="s">
        <v>42</v>
      </c>
      <c r="K12" s="8">
        <f>ICC!N5</f>
        <v>13</v>
      </c>
    </row>
    <row r="13" spans="1:11" x14ac:dyDescent="0.25">
      <c r="A13">
        <f>'Paired data'!A11</f>
        <v>9</v>
      </c>
      <c r="B13" s="8">
        <f>'Paired data'!AB11/6</f>
        <v>0.35555555555555557</v>
      </c>
      <c r="C13" s="8">
        <f>'Paired data'!AC11/36</f>
        <v>0.12641975308641976</v>
      </c>
      <c r="J13" t="s">
        <v>43</v>
      </c>
      <c r="K13" s="8">
        <f>ICC!N6</f>
        <v>3</v>
      </c>
    </row>
    <row r="14" spans="1:11" x14ac:dyDescent="0.25">
      <c r="A14">
        <f>'Paired data'!A12</f>
        <v>10</v>
      </c>
      <c r="B14" s="8">
        <f>'Paired data'!AB12/6</f>
        <v>2.4999999999999949E-2</v>
      </c>
      <c r="C14" s="8">
        <f>'Paired data'!AC12/36</f>
        <v>6.2499999999999741E-4</v>
      </c>
      <c r="J14" t="s">
        <v>44</v>
      </c>
      <c r="K14" s="8">
        <f>ICC!N7</f>
        <v>3.5769444444444436</v>
      </c>
    </row>
    <row r="15" spans="1:11" x14ac:dyDescent="0.25">
      <c r="A15">
        <f>'Paired data'!A13</f>
        <v>11</v>
      </c>
      <c r="B15" s="8">
        <f>'Paired data'!AB13/6</f>
        <v>0.31111111111111117</v>
      </c>
      <c r="C15" s="8">
        <f>'Paired data'!AC13/36</f>
        <v>9.6790123456790153E-2</v>
      </c>
      <c r="J15" t="s">
        <v>45</v>
      </c>
      <c r="K15" s="8">
        <f>ICC!N8</f>
        <v>1.3910256410256313E-2</v>
      </c>
    </row>
    <row r="16" spans="1:11" x14ac:dyDescent="0.25">
      <c r="A16">
        <f>'Paired data'!A14</f>
        <v>12</v>
      </c>
      <c r="B16" s="8">
        <f>'Paired data'!AB14/6</f>
        <v>7.7777777777777793E-2</v>
      </c>
      <c r="C16" s="8">
        <f>'Paired data'!AC14/36</f>
        <v>6.0493827160493854E-3</v>
      </c>
      <c r="J16" t="s">
        <v>46</v>
      </c>
      <c r="K16" s="8">
        <f>ICC!N9</f>
        <v>1.7729700854700856E-2</v>
      </c>
    </row>
    <row r="17" spans="1:11" x14ac:dyDescent="0.25">
      <c r="A17">
        <f>'Paired data'!A15</f>
        <v>13</v>
      </c>
      <c r="B17" s="8">
        <f>'Paired data'!AB15/6</f>
        <v>2.2222222222222216E-2</v>
      </c>
      <c r="C17" s="8">
        <f>'Paired data'!AC15/36</f>
        <v>4.9382716049382696E-4</v>
      </c>
      <c r="J17" t="s">
        <v>88</v>
      </c>
      <c r="K17" s="8">
        <f>K15/K16</f>
        <v>0.78457366676709295</v>
      </c>
    </row>
    <row r="18" spans="1:11" x14ac:dyDescent="0.25">
      <c r="A18">
        <f>'Paired data'!A16</f>
        <v>14</v>
      </c>
      <c r="B18" s="8">
        <f>'Paired data'!AB16/6</f>
        <v>0.31111111111111106</v>
      </c>
      <c r="C18" s="8">
        <f>'Paired data'!AC16/36</f>
        <v>9.6790123456790084E-2</v>
      </c>
      <c r="J18" t="s">
        <v>89</v>
      </c>
      <c r="K18" s="8">
        <f>((K12-1)*(K13-1)*(K13*F12*K17+K12*(1+(K13-1)*F12)-K13*F12)^2)/((K12-1)*K13^2*F12^2*K17^2+(K12*(1+(K13-1)*F12)-K13*F12)^2)</f>
        <v>25.908237212426101</v>
      </c>
    </row>
    <row r="19" spans="1:11" x14ac:dyDescent="0.25">
      <c r="J19" t="s">
        <v>90</v>
      </c>
      <c r="K19" s="8">
        <f>_xlfn.F.INV(1-K8/2,K12-1,K18)</f>
        <v>2.5148903486239518</v>
      </c>
    </row>
    <row r="20" spans="1:11" x14ac:dyDescent="0.25">
      <c r="J20" t="s">
        <v>91</v>
      </c>
      <c r="K20" s="8">
        <f>_xlfn.F.INV(1-K8/2,K18,K12-1)</f>
        <v>3.0077380459595253</v>
      </c>
    </row>
    <row r="21" spans="1:11" ht="33.65" customHeight="1" x14ac:dyDescent="0.25">
      <c r="A21" s="12" t="s">
        <v>92</v>
      </c>
      <c r="B21" s="12"/>
      <c r="C21" s="12"/>
      <c r="D21" s="12"/>
      <c r="E21" s="12"/>
      <c r="F21" s="12"/>
      <c r="G21" s="12"/>
      <c r="H21" s="12"/>
      <c r="J21" t="s">
        <v>48</v>
      </c>
      <c r="K21" t="s">
        <v>49</v>
      </c>
    </row>
  </sheetData>
  <mergeCells count="3">
    <mergeCell ref="A3:H3"/>
    <mergeCell ref="A21:H21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Paired data</vt:lpstr>
      <vt:lpstr>Metrics</vt:lpstr>
      <vt:lpstr>ICC</vt:lpstr>
      <vt:lpstr>Confidence Intervals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Barriga Corchero</cp:lastModifiedBy>
  <dcterms:modified xsi:type="dcterms:W3CDTF">2026-10-02T08:49:27Z</dcterms:modified>
</cp:coreProperties>
</file>